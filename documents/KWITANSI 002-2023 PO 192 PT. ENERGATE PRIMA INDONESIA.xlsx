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19420" windowHeight="8220"/>
  </bookViews>
  <sheets>
    <sheet name="Kuitansi (terbilang)" sheetId="1" r:id="rId1"/>
    <sheet name="Rumus Terbilang" sheetId="2" r:id="rId2"/>
    <sheet name="Sheet1" sheetId="3" r:id="rId3"/>
  </sheets>
  <externalReferences>
    <externalReference r:id="rId4"/>
  </externalReferences>
  <definedNames>
    <definedName name="idxRatusan">{"";"seratus";"dua ratus";"tiga ratus";"empat ratus";"lima ratus";"enam ratus";"tujuh ratus";"delapan ratus";"sembilan ratus"}</definedName>
    <definedName name="idxSatuSampaiDuaPuluh">{"";"satu";"dua";"tiga";"empat";"lima ";"enam";"tujuh";"delapan";"sembilan";"sepuluh";"sebelas";"dua belas";"tiga belas";"empat belas";"lima belas";"enam belas";"tujuh belas";"delapan belas";"sembilan belas";"dua puluh"}</definedName>
    <definedName name="InvoiceTotal">[1]Invoice!$E$37</definedName>
    <definedName name="juta">" "&amp;INDEX(idxRatusan,--LEFT(TEXT(RIGHT(nilai,9),REPT("0",9)),1)+1)&amp;" "&amp;IF((--MID(TEXT(RIGHT(nilai,9),REPT("0",9)),2,2)+1)&lt;=20,IF(--LEFT(TEXT(RIGHT(nilai,9),REPT("0",9)),3)=1," satu juta",INDEX(idxSatuSampaiDuaPuluh,--LEFT(TEXT(RIGHT(nilai,8),REPT("0",8)),2)+1)),INDEX(idxSatuSampaiDuaPuluh,--LEFT(RIGHT(nilai,8),1)+1)&amp;" puluh "&amp;INDEX(idxSatuSampaiDuaPuluh,--LEFT(RIGHT(nilai,7),1)+1))&amp;IF(OR(LEN(nilai)&lt;=6,--LEFT(TEXT(RIGHT(nilai,9),REPT("0",9)),3)={0;1}),""," juta")</definedName>
    <definedName name="juta2">" "&amp;INDEX(idxRatusan,--LEFT(TEXT(RIGHT(nilai,9),REPT("0",9)),1)+1)&amp;" "&amp;IF((--MID(TEXT(RIGHT(nilai,9),REPT("0",9)),2,2)+1)&lt;=20,IF(--LEFT(TEXT(RIGHT(nilai,9),REPT("0",9)),3)=1," satu juta / ",INDEX(idxSatuSampaiDuaPuluh,--LEFT(TEXT(RIGHT(nilai,8),REPT("0",8)),2)+1)),INDEX(idxSatuSampaiDuaPuluh,--LEFT(RIGHT(nilai,8),1)+1)&amp;" puluh "&amp;INDEX(idxSatuSampaiDuaPuluh,--LEFT(RIGHT(nilai,7),1)+1))&amp;IF(OR(LEN(nilai)&lt;=6,--LEFT(TEXT(RIGHT(nilai,9),REPT("0",9)),3)={0;1}),""," juta / ")</definedName>
    <definedName name="juta3">" "&amp;INDEX(idxRatusan,--LEFT(TEXT(RIGHT('Kuitansi (terbilang)'!XFD1,9),REPT("0",9)),1)+1)&amp;" "&amp;IF((--MID(TEXT(RIGHT('Kuitansi (terbilang)'!XFD1,9),REPT("0",9)),2,2)+1)&lt;=20,IF(--LEFT(TEXT(RIGHT('Kuitansi (terbilang)'!XFD1,9),REPT("0",9)),3)=1," satu juta",INDEX(idxSatuSampaiDuaPuluh,--LEFT(TEXT(RIGHT('Kuitansi (terbilang)'!XFD1,8),REPT("0",8)),2)+1)),INDEX(idxSatuSampaiDuaPuluh,--LEFT(RIGHT('Kuitansi (terbilang)'!XFD1,8),1)+1)&amp;" puluh "&amp;INDEX(idxSatuSampaiDuaPuluh,--LEFT(RIGHT('Kuitansi (terbilang)'!XFD1,7),1)+1))&amp;IF(OR(LEN('Kuitansi (terbilang)'!XFD1)&lt;=6,--LEFT(TEXT(RIGHT('Kuitansi (terbilang)'!XFD1,9),REPT("0",9)),3)={0;1}),""," juta")</definedName>
    <definedName name="juta4">" "&amp;INDEX(idxRatusan,--LEFT(TEXT(RIGHT('Kuitansi (terbilang)'!XFD1,9),REPT("0",9)),1)+1)&amp;" "&amp;IF((--MID(TEXT(RIGHT('Kuitansi (terbilang)'!XFD1,9),REPT("0",9)),2,2)+1)&lt;=20,IF(--LEFT(TEXT(RIGHT('Kuitansi (terbilang)'!XFD1,9),REPT("0",9)),3)=1," satu juta / ",INDEX(idxSatuSampaiDuaPuluh,--LEFT(TEXT(RIGHT('Kuitansi (terbilang)'!XFD1,8),REPT("0",8)),2)+1)),INDEX(idxSatuSampaiDuaPuluh,--LEFT(RIGHT('Kuitansi (terbilang)'!XFD1,8),1)+1)&amp;" puluh "&amp;INDEX(idxSatuSampaiDuaPuluh,--LEFT(RIGHT('Kuitansi (terbilang)'!XFD1,7),1)+1))&amp;IF(OR(LEN('Kuitansi (terbilang)'!XFD1)&lt;=6,--LEFT(TEXT(RIGHT('Kuitansi (terbilang)'!XFD1,9),REPT("0",9)),3)={0;1}),""," juta / ")</definedName>
    <definedName name="milyar">" "&amp;INDEX(idxRatusan,--LEFT(TEXT(RIGHT(nilai,12),REPT("0",12)),1)+1)&amp;" "&amp;IF((--MID(TEXT(RIGHT(nilai,12),REPT("0",12)),2,2)+1)&lt;=20,IF(--LEFT(TEXT(RIGHT(nilai,12),REPT("0",12)),3)=1," satu milyar",INDEX(idxSatuSampaiDuaPuluh,--LEFT(TEXT(RIGHT(nilai,11),REPT("0",11)),2)+1)),INDEX(idxSatuSampaiDuaPuluh,--LEFT(RIGHT(nilai,11),1)+1)&amp;" puluh "&amp;INDEX(idxSatuSampaiDuaPuluh,--LEFT(RIGHT(nilai,10),1)+1))&amp;IF(OR(LEN(nilai)&lt;=9,--LEFT(TEXT(RIGHT(nilai,12),REPT("0",12)),3)={0;1}),""," milyar")</definedName>
    <definedName name="milyar2">" "&amp;INDEX(idxRatusan,--LEFT(TEXT(RIGHT(nilai,12),REPT("0",12)),1)+1)&amp;" "&amp;IF((--MID(TEXT(RIGHT(nilai,12),REPT("0",12)),2,2)+1)&lt;=20,IF(--LEFT(TEXT(RIGHT(nilai,12),REPT("0",12)),3)=1," satu milyar / ",INDEX(idxSatuSampaiDuaPuluh,--LEFT(TEXT(RIGHT(nilai,11),REPT("0",11)),2)+1)),INDEX(idxSatuSampaiDuaPuluh,--LEFT(RIGHT(nilai,11),1)+1)&amp;" puluh "&amp;INDEX(idxSatuSampaiDuaPuluh,--LEFT(RIGHT(nilai,10),1)+1))&amp;IF(OR(LEN(nilai)&lt;=9,--LEFT(TEXT(RIGHT(nilai,12),REPT("0",12)),3)={0;1}),""," milyar / ")</definedName>
    <definedName name="milyar3">" "&amp;INDEX(idxRatusan,--LEFT(TEXT(RIGHT('Kuitansi (terbilang)'!XFD1,12),REPT("0",12)),1)+1)&amp;" "&amp;IF((--MID(TEXT(RIGHT('Kuitansi (terbilang)'!XFD1,12),REPT("0",12)),2,2)+1)&lt;=20,IF(--LEFT(TEXT(RIGHT('Kuitansi (terbilang)'!XFD1,12),REPT("0",12)),3)=1," satu milyar",INDEX(idxSatuSampaiDuaPuluh,--LEFT(TEXT(RIGHT('Kuitansi (terbilang)'!XFD1,11),REPT("0",11)),2)+1)),INDEX(idxSatuSampaiDuaPuluh,--LEFT(RIGHT('Kuitansi (terbilang)'!XFD1,11),1)+1)&amp;" puluh "&amp;INDEX(idxSatuSampaiDuaPuluh,--LEFT(RIGHT('Kuitansi (terbilang)'!XFD1,10),1)+1))&amp;IF(OR(LEN('Kuitansi (terbilang)'!XFD1)&lt;=9,--LEFT(TEXT(RIGHT('Kuitansi (terbilang)'!XFD1,12),REPT("0",12)),3)={0;1}),""," milyar")</definedName>
    <definedName name="milyar4">" "&amp;INDEX(idxRatusan,--LEFT(TEXT(RIGHT('Kuitansi (terbilang)'!XFD1,12),REPT("0",12)),1)+1)&amp;" "&amp;IF((--MID(TEXT(RIGHT('Kuitansi (terbilang)'!XFD1,12),REPT("0",12)),2,2)+1)&lt;=20,IF(--LEFT(TEXT(RIGHT('Kuitansi (terbilang)'!XFD1,12),REPT("0",12)),3)=1," satu milyar / ",INDEX(idxSatuSampaiDuaPuluh,--LEFT(TEXT(RIGHT('Kuitansi (terbilang)'!XFD1,11),REPT("0",11)),2)+1)),INDEX(idxSatuSampaiDuaPuluh,--LEFT(RIGHT('Kuitansi (terbilang)'!XFD1,11),1)+1)&amp;" puluh "&amp;INDEX(idxSatuSampaiDuaPuluh,--LEFT(RIGHT('Kuitansi (terbilang)'!XFD1,10),1)+1))&amp;IF(OR(LEN('Kuitansi (terbilang)'!XFD1)&lt;=9,--LEFT(TEXT(RIGHT('Kuitansi (terbilang)'!XFD1,12),REPT("0",12)),3)={0;1}),""," milyar / ")</definedName>
    <definedName name="nilai">'Kuitansi (terbilang)'!$G$22</definedName>
    <definedName name="_xlnm.Print_Area" localSheetId="0">'Kuitansi (terbilang)'!$A$1:$BV$27</definedName>
    <definedName name="ratus">" "&amp;INDEX(idxRatusan,--LEFT(TEXT(RIGHT(nilai,3),"000"),1)+1)&amp;" "&amp;IF(--RIGHT(nilai,2)&lt;=20,INDEX(idxSatuSampaiDuaPuluh,--LEFT(RIGHT(nilai,2),2)+1),INDEX(idxSatuSampaiDuaPuluh,--LEFT(RIGHT(nilai,2),1)+1)&amp;" puluh "&amp;INDEX(idxSatuSampaiDuaPuluh,--RIGHT(nilai,1)+1))</definedName>
    <definedName name="ratus2">" "&amp;INDEX(idxRatusan,--LEFT(TEXT(RIGHT(nilai,3),"000"),1)+1)&amp;" "&amp;IF(--RIGHT(nilai,2)&lt;=20,INDEX(idxSatuSampaiDuaPuluh,--LEFT(RIGHT(nilai,2),2)+1),INDEX(idxSatuSampaiDuaPuluh,--LEFT(RIGHT(nilai,2),1)+1)&amp;" puluh "&amp;INDEX(idxSatuSampaiDuaPuluh,--RIGHT(nilai,1)+1))</definedName>
    <definedName name="ratus3">" "&amp;INDEX(idxRatusan,--LEFT(TEXT(RIGHT('Kuitansi (terbilang)'!XFD1,3),"000"),1)+1)&amp;" "&amp;IF(--RIGHT('Kuitansi (terbilang)'!XFD1,2)&lt;=20,INDEX(idxSatuSampaiDuaPuluh,--LEFT(RIGHT('Kuitansi (terbilang)'!XFD1,2),2)+1),INDEX(idxSatuSampaiDuaPuluh,--LEFT(RIGHT('Kuitansi (terbilang)'!XFD1,2),1)+1)&amp;" puluh "&amp;INDEX(idxSatuSampaiDuaPuluh,--RIGHT('Kuitansi (terbilang)'!XFD1,1)+1))</definedName>
    <definedName name="ratus4">" "&amp;INDEX(idxRatusan,--LEFT(TEXT(RIGHT('Kuitansi (terbilang)'!XFD1,3),"000"),1)+1)&amp;" "&amp;IF(--RIGHT('Kuitansi (terbilang)'!XFD1,2)&lt;=20,INDEX(idxSatuSampaiDuaPuluh,--LEFT(RIGHT('Kuitansi (terbilang)'!XFD1,2),2)+1),INDEX(idxSatuSampaiDuaPuluh,--LEFT(RIGHT('Kuitansi (terbilang)'!XFD1,2),1)+1)&amp;" puluh "&amp;INDEX(idxSatuSampaiDuaPuluh,--RIGHT('Kuitansi (terbilang)'!XFD1,1)+1))</definedName>
    <definedName name="ribu">" "&amp;INDEX(idxRatusan,--LEFT(TEXT(RIGHT(nilai,6),REPT("0",6)),1)+1)&amp;" "&amp;IF((--MID(TEXT(RIGHT(nilai,6),REPT("0",6)),2,2)+1)&lt;=20,IF(--LEFT(TEXT(RIGHT(nilai,6),REPT("0",6)),3)=1," seribu",INDEX(idxSatuSampaiDuaPuluh,--LEFT(TEXT(RIGHT(nilai,5),REPT("0",5)),2)+1)),INDEX(idxSatuSampaiDuaPuluh,--LEFT(RIGHT(nilai,5),1)+1)&amp;" puluh "&amp;INDEX(idxSatuSampaiDuaPuluh,--LEFT(RIGHT(nilai,4),1)+1))&amp;IF(OR(LEN(nilai)&lt;=3,--LEFT(TEXT(RIGHT(nilai,6),REPT("0",6)),3)={0;1}),""," ribu")</definedName>
    <definedName name="ribu2">" "&amp;INDEX(idxRatusan,--LEFT(TEXT(RIGHT(nilai,6),REPT("0",6)),1)+1)&amp;" "&amp;IF((--MID(TEXT(RIGHT(nilai,6),REPT("0",6)),2,2)+1)&lt;=20,IF(--LEFT(TEXT(RIGHT(nilai,6),REPT("0",6)),3)=1," seribu / ",INDEX(idxSatuSampaiDuaPuluh,--LEFT(TEXT(RIGHT(nilai,5),REPT("0",5)),2)+1)),INDEX(idxSatuSampaiDuaPuluh,--LEFT(RIGHT(nilai,5),1)+1)&amp;" puluh "&amp;INDEX(idxSatuSampaiDuaPuluh,--LEFT(RIGHT(nilai,4),1)+1))&amp;IF(OR(LEN(nilai)&lt;=3,--LEFT(TEXT(RIGHT(nilai,6),REPT("0",6)),3)={0;1}),""," ribu / ")</definedName>
    <definedName name="ribu3">" "&amp;INDEX(idxRatusan,--LEFT(TEXT(RIGHT('Kuitansi (terbilang)'!XFD1,6),REPT("0",6)),1)+1)&amp;" "&amp;IF((--MID(TEXT(RIGHT('Kuitansi (terbilang)'!XFD1,6),REPT("0",6)),2,2)+1)&lt;=20,IF(--LEFT(TEXT(RIGHT('Kuitansi (terbilang)'!XFD1,6),REPT("0",6)),3)=1," seribu",INDEX(idxSatuSampaiDuaPuluh,--LEFT(TEXT(RIGHT('Kuitansi (terbilang)'!XFD1,5),REPT("0",5)),2)+1)),INDEX(idxSatuSampaiDuaPuluh,--LEFT(RIGHT('Kuitansi (terbilang)'!XFD1,5),1)+1)&amp;" puluh "&amp;INDEX(idxSatuSampaiDuaPuluh,--LEFT(RIGHT('Kuitansi (terbilang)'!XFD1,4),1)+1))&amp;IF(OR(LEN('Kuitansi (terbilang)'!XFD1)&lt;=3,--LEFT(TEXT(RIGHT('Kuitansi (terbilang)'!XFD1,6),REPT("0",6)),3)={0;1}),""," ribu")</definedName>
    <definedName name="ribu4">" "&amp;INDEX(idxRatusan,--LEFT(TEXT(RIGHT('Kuitansi (terbilang)'!XFD1,6),REPT("0",6)),1)+1)&amp;" "&amp;IF((--MID(TEXT(RIGHT('Kuitansi (terbilang)'!XFD1,6),REPT("0",6)),2,2)+1)&lt;=20,IF(--LEFT(TEXT(RIGHT('Kuitansi (terbilang)'!XFD1,6),REPT("0",6)),3)=1," seribu / ",INDEX(idxSatuSampaiDuaPuluh,--LEFT(TEXT(RIGHT('Kuitansi (terbilang)'!XFD1,5),REPT("0",5)),2)+1)),INDEX(idxSatuSampaiDuaPuluh,--LEFT(RIGHT('Kuitansi (terbilang)'!XFD1,5),1)+1)&amp;" puluh "&amp;INDEX(idxSatuSampaiDuaPuluh,--LEFT(RIGHT('Kuitansi (terbilang)'!XFD1,4),1)+1))&amp;IF(OR(LEN('Kuitansi (terbilang)'!XFD1)&lt;=3,--LEFT(TEXT(RIGHT('Kuitansi (terbilang)'!XFD1,6),REPT("0",6)),3)={0;1}),""," ribu / ")</definedName>
    <definedName name="terbilang">IF(nilai=0,"nol",IF(TYPE(nilai)=1,IF(MOD(nilai,INT(nilai))=0,TRIM(milyar&amp;juta&amp;ribu&amp;ratus),"ANGKA HARUS BILANGAN BULAT!"),"DATA TIDAK BOLEH BERTIPE TEKS!"))</definedName>
    <definedName name="terbilang2">TRIM(IF((MID(trbl2,LEN(trbl2),1))="/",LEFT(trbl2,LEN(trbl2)-1),trbl2))</definedName>
    <definedName name="terbilang3">IF('Kuitansi (terbilang)'!XFD1=0,"nol",IF(TYPE('Kuitansi (terbilang)'!XFD1)=1,IF(MOD('Kuitansi (terbilang)'!XFD1,INT('Kuitansi (terbilang)'!XFD1))=0,TRIM(milyar3&amp;juta3&amp;ribu3&amp;ratus3),"ANGKA HARUS BILANGAN BULAT!"),"DATA TIDAK BOLEH BERTIPE TEKS!"))</definedName>
    <definedName name="terbilang4">TRIM(IF((MID(trbl4,LEN(trbl4),1))="/",LEFT(trbl4,LEN(trbl4)-1),trbl4))</definedName>
    <definedName name="trbl2">IF(nilai=0,"nol",IF(TYPE(nilai)=1,IF(MOD(nilai,INT(nilai))=0,TRIM(milyar2&amp;juta2&amp;ribu2&amp;ratus2),"ANGKA HARUS BILANGAN BULAT!"),"DATA TIDAK BOLEH BERTIPE TEKS!"))</definedName>
    <definedName name="trbl4">IF('Kuitansi (terbilang)'!XFD1=0,"nol",IF(TYPE('Kuitansi (terbilang)'!XFD1)=1,IF(MOD('Kuitansi (terbilang)'!XFD1,INT('Kuitansi (terbilang)'!XFD1))=0,TRIM(milyar4&amp;juta4&amp;ribu4&amp;ratus4),"ANGKA HARUS BILANGAN BULAT!"),"DATA TIDAK BOLEH BERTIPE TEKS!"))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2" l="1"/>
  <c r="F12" i="2" s="1"/>
  <c r="C12" i="2" l="1"/>
  <c r="D12" i="2"/>
  <c r="F15" i="2"/>
  <c r="F14" i="2"/>
  <c r="F13" i="2"/>
  <c r="E12" i="2"/>
  <c r="C13" i="2" l="1"/>
  <c r="F16" i="2"/>
  <c r="F17" i="2" s="1"/>
  <c r="D14" i="2"/>
  <c r="D15" i="2"/>
  <c r="C14" i="2"/>
  <c r="C15" i="2"/>
  <c r="D13" i="2"/>
  <c r="E14" i="2"/>
  <c r="E13" i="2"/>
  <c r="E15" i="2"/>
  <c r="D16" i="2" l="1"/>
  <c r="D17" i="2" s="1"/>
  <c r="C16" i="2"/>
  <c r="C17" i="2" s="1"/>
  <c r="E16" i="2"/>
  <c r="E17" i="2" s="1"/>
  <c r="C4" i="2" l="1"/>
  <c r="Q11" i="1" s="1"/>
</calcChain>
</file>

<file path=xl/sharedStrings.xml><?xml version="1.0" encoding="utf-8"?>
<sst xmlns="http://schemas.openxmlformats.org/spreadsheetml/2006/main" count="79" uniqueCount="76">
  <si>
    <t>NO.</t>
  </si>
  <si>
    <t>KWITANSI</t>
  </si>
  <si>
    <t>Telah terima dari</t>
  </si>
  <si>
    <t>:</t>
  </si>
  <si>
    <t>Uang sejumlah</t>
  </si>
  <si>
    <t>Untuk Pembayaran</t>
  </si>
  <si>
    <t>Rp</t>
  </si>
  <si>
    <t>(</t>
  </si>
  <si>
    <t>)</t>
  </si>
  <si>
    <t>RUMUS TERBILANG TANPA MACRO BY EXCELKU.COM</t>
  </si>
  <si>
    <t>Nilai</t>
  </si>
  <si>
    <t>Terbilang</t>
  </si>
  <si>
    <t xml:space="preserve"> </t>
  </si>
  <si>
    <t>Milyar</t>
  </si>
  <si>
    <t>Jutaan</t>
  </si>
  <si>
    <t>Ratusan Ribu
s.d. Ribuan</t>
  </si>
  <si>
    <t>Ratusan 
s.d. Satuan</t>
  </si>
  <si>
    <t>Posisi</t>
  </si>
  <si>
    <t>Digit</t>
  </si>
  <si>
    <t>NILAI</t>
  </si>
  <si>
    <t>Ratusan</t>
  </si>
  <si>
    <t>Puluhan</t>
  </si>
  <si>
    <t>Belasan &amp; Satuan</t>
  </si>
  <si>
    <t>Tahap 1</t>
  </si>
  <si>
    <t>Tahap 2</t>
  </si>
  <si>
    <t xml:space="preserve">Angka        </t>
  </si>
  <si>
    <t>satu</t>
  </si>
  <si>
    <t>dua</t>
  </si>
  <si>
    <t>tiga</t>
  </si>
  <si>
    <t>empat</t>
  </si>
  <si>
    <t>lima</t>
  </si>
  <si>
    <t>enam</t>
  </si>
  <si>
    <t>tujuh</t>
  </si>
  <si>
    <t>delapan</t>
  </si>
  <si>
    <t>sembilan</t>
  </si>
  <si>
    <t>sepuluh</t>
  </si>
  <si>
    <t>sebelas</t>
  </si>
  <si>
    <t>dua belas</t>
  </si>
  <si>
    <t>tiga belas</t>
  </si>
  <si>
    <t>empat belas</t>
  </si>
  <si>
    <t>lima belas</t>
  </si>
  <si>
    <t>enam belas</t>
  </si>
  <si>
    <t>tujuh belas</t>
  </si>
  <si>
    <t>delapan belas</t>
  </si>
  <si>
    <t>sembilan belas</t>
  </si>
  <si>
    <t>EXCELKU.COM</t>
  </si>
  <si>
    <t>Junaidi</t>
  </si>
  <si>
    <t>Customers</t>
  </si>
  <si>
    <t>Commercial Invoice</t>
  </si>
  <si>
    <t>Company Name</t>
  </si>
  <si>
    <t>Contact Name</t>
  </si>
  <si>
    <t>Address</t>
  </si>
  <si>
    <t>Address 2</t>
  </si>
  <si>
    <t>City</t>
  </si>
  <si>
    <t>State</t>
  </si>
  <si>
    <t>ZIP Code</t>
  </si>
  <si>
    <t>Phone</t>
  </si>
  <si>
    <t>Email</t>
  </si>
  <si>
    <t>Fax</t>
  </si>
  <si>
    <t>PT. GLOBAL PRIMA SARANA</t>
  </si>
  <si>
    <t>HENRY ONG</t>
  </si>
  <si>
    <t>JL. KARANGANYAR RAYA</t>
  </si>
  <si>
    <t>N0. 12</t>
  </si>
  <si>
    <t>JAKARTA PUSAT</t>
  </si>
  <si>
    <t>DKI JAKARTA</t>
  </si>
  <si>
    <t>-</t>
  </si>
  <si>
    <t>021-62309333</t>
  </si>
  <si>
    <t>henry_ong18@yahoo.com</t>
  </si>
  <si>
    <t>ABC</t>
  </si>
  <si>
    <t>NOTE : Pembayaran dianggap sah apabila telah diterim dan cek/bg telah dicairkan</t>
  </si>
  <si>
    <t>DIREKTUR</t>
  </si>
  <si>
    <t>PT. ANUGERAH BUANA SRIWIJAYA</t>
  </si>
  <si>
    <t>JALAN BETAWI RAYA GANG. SEPAKAT NO. 1328 KEL. LEBUNG GAJAH KEC. SEMATANG BORANG, PALEMBANG</t>
  </si>
  <si>
    <t>PT. ENERGATE PRIMA INDONESIA</t>
  </si>
  <si>
    <t>HSD SOLAR 20.000 LITER  INV : 013/ABS/INV/XII/2022  / (PO:192/EPI-HO/PRC/PO/XII/2022)</t>
  </si>
  <si>
    <t>Palembang, 30 Januari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</si>
</sst>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(* #,##0.00_);_(* \(#,##0.00\);_(* &quot;-&quot;??_);_(@_)"/>
    <numFmt numFmtId="165" formatCode="_(* #,##0_);_(* \(#,##0\);_(* &quot;-&quot;??_);_(@_)"/>
    <numFmt numFmtId="166" formatCode="[&lt;=9999999]###\-####;###\-###\-####"/>
    <numFmt numFmtId="167" formatCode="0;0;;@"/>
  </numFmts>
  <fonts count="27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u/>
      <sz val="33"/>
      <color indexed="8"/>
      <name val="Georgia"/>
      <family val="1"/>
    </font>
    <font>
      <b/>
      <sz val="33"/>
      <color indexed="8"/>
      <name val="Courier New"/>
      <family val="3"/>
    </font>
    <font>
      <b/>
      <sz val="25"/>
      <color indexed="8"/>
      <name val="Georgia"/>
      <family val="1"/>
    </font>
    <font>
      <b/>
      <sz val="18"/>
      <color indexed="8"/>
      <name val="Georgia"/>
      <family val="1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1"/>
      <color theme="0"/>
      <name val="Calibri"/>
      <family val="2"/>
      <scheme val="minor"/>
    </font>
    <font>
      <b/>
      <sz val="15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1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indexed="8"/>
      <name val="Georgia"/>
      <family val="1"/>
    </font>
    <font>
      <b/>
      <sz val="18"/>
      <color theme="3"/>
      <name val="Calibri Light"/>
      <family val="2"/>
      <charset val="1"/>
      <scheme val="major"/>
    </font>
    <font>
      <b/>
      <sz val="28"/>
      <color theme="3"/>
      <name val="Calibri Light"/>
      <family val="2"/>
      <scheme val="major"/>
    </font>
    <font>
      <sz val="11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00"/>
      <color theme="0"/>
      <name val="Arial Black"/>
      <family val="2"/>
    </font>
    <font>
      <b/>
      <u/>
      <sz val="42"/>
      <color indexed="8"/>
      <name val="Georgia"/>
      <family val="1"/>
    </font>
    <font>
      <b/>
      <sz val="21"/>
      <color indexed="8"/>
      <name val="Georgia"/>
      <family val="1"/>
    </font>
    <font>
      <b/>
      <sz val="16"/>
      <color indexed="8"/>
      <name val="Georgia"/>
      <family val="1"/>
    </font>
    <font>
      <b/>
      <sz val="15"/>
      <color theme="0"/>
      <name val="Georgia"/>
      <family val="1"/>
    </font>
  </fonts>
  <fills count="1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0066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66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rgb="FF002060"/>
      </left>
      <right style="thin">
        <color theme="4"/>
      </right>
      <top style="thick">
        <color rgb="FF002060"/>
      </top>
      <bottom style="thick">
        <color rgb="FF002060"/>
      </bottom>
      <diagonal/>
    </border>
    <border>
      <left style="thin">
        <color theme="4"/>
      </left>
      <right style="thin">
        <color theme="4"/>
      </right>
      <top style="thick">
        <color rgb="FF002060"/>
      </top>
      <bottom style="thick">
        <color rgb="FF002060"/>
      </bottom>
      <diagonal/>
    </border>
    <border>
      <left style="thin">
        <color theme="4"/>
      </left>
      <right style="thick">
        <color rgb="FF002060"/>
      </right>
      <top style="thick">
        <color rgb="FF002060"/>
      </top>
      <bottom style="thick">
        <color rgb="FF002060"/>
      </bottom>
      <diagonal/>
    </border>
    <border>
      <left style="thick">
        <color theme="0" tint="-0.499984740745262"/>
      </left>
      <right style="thin">
        <color theme="4"/>
      </right>
      <top style="thick">
        <color rgb="FF002060"/>
      </top>
      <bottom style="thick">
        <color theme="0" tint="-0.499984740745262"/>
      </bottom>
      <diagonal/>
    </border>
    <border>
      <left style="thin">
        <color theme="4"/>
      </left>
      <right style="thin">
        <color theme="4"/>
      </right>
      <top style="thick">
        <color rgb="FF002060"/>
      </top>
      <bottom style="thick">
        <color theme="0" tint="-0.499984740745262"/>
      </bottom>
      <diagonal/>
    </border>
    <border>
      <left style="thin">
        <color theme="4"/>
      </left>
      <right style="thick">
        <color theme="0" tint="-0.499984740745262"/>
      </right>
      <top style="thick">
        <color rgb="FF002060"/>
      </top>
      <bottom style="thick">
        <color theme="0" tint="-0.499984740745262"/>
      </bottom>
      <diagonal/>
    </border>
    <border>
      <left style="thick">
        <color theme="0" tint="-0.34998626667073579"/>
      </left>
      <right style="thin">
        <color theme="4"/>
      </right>
      <top style="thick">
        <color theme="0" tint="-0.499984740745262"/>
      </top>
      <bottom style="thick">
        <color theme="0" tint="-0.34998626667073579"/>
      </bottom>
      <diagonal/>
    </border>
    <border>
      <left style="thin">
        <color theme="4"/>
      </left>
      <right style="thin">
        <color theme="4"/>
      </right>
      <top style="thick">
        <color theme="0" tint="-0.499984740745262"/>
      </top>
      <bottom style="thick">
        <color theme="0" tint="-0.34998626667073579"/>
      </bottom>
      <diagonal/>
    </border>
    <border>
      <left style="thin">
        <color theme="4"/>
      </left>
      <right style="thick">
        <color theme="0" tint="-0.34998626667073579"/>
      </right>
      <top style="thick">
        <color theme="0" tint="-0.499984740745262"/>
      </top>
      <bottom style="thick">
        <color theme="0" tint="-0.34998626667073579"/>
      </bottom>
      <diagonal/>
    </border>
    <border>
      <left style="thick">
        <color rgb="FFFFFF00"/>
      </left>
      <right style="thin">
        <color theme="4"/>
      </right>
      <top style="thick">
        <color theme="0" tint="-0.34998626667073579"/>
      </top>
      <bottom style="thick">
        <color rgb="FFFFFF00"/>
      </bottom>
      <diagonal/>
    </border>
    <border>
      <left style="thin">
        <color theme="4"/>
      </left>
      <right style="thin">
        <color theme="4"/>
      </right>
      <top style="thick">
        <color theme="0" tint="-0.34998626667073579"/>
      </top>
      <bottom style="thick">
        <color rgb="FFFFFF00"/>
      </bottom>
      <diagonal/>
    </border>
    <border>
      <left style="thin">
        <color theme="4"/>
      </left>
      <right style="thick">
        <color rgb="FFFFFF00"/>
      </right>
      <top style="thick">
        <color theme="0" tint="-0.34998626667073579"/>
      </top>
      <bottom style="thick">
        <color rgb="FFFFFF00"/>
      </bottom>
      <diagonal/>
    </border>
    <border>
      <left style="thin">
        <color theme="4"/>
      </left>
      <right style="thin">
        <color theme="4"/>
      </right>
      <top/>
      <bottom style="thin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 style="thin">
        <color indexed="64"/>
      </top>
      <bottom/>
      <diagonal/>
    </border>
  </borders>
  <cellStyleXfs count="8">
    <xf numFmtId="0" fontId="0" fillId="0" borderId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18" fillId="0" borderId="0" applyNumberFormat="0" applyFill="0" applyBorder="0" applyAlignment="0" applyProtection="0"/>
    <xf numFmtId="0" fontId="9" fillId="0" borderId="0" applyNumberFormat="0" applyFill="0" applyBorder="0">
      <alignment horizontal="center" vertical="center" wrapText="1"/>
    </xf>
    <xf numFmtId="167" fontId="2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 wrapText="1"/>
    </xf>
    <xf numFmtId="166" fontId="21" fillId="0" borderId="0" applyNumberFormat="0">
      <alignment horizontal="left" vertical="top" wrapText="1"/>
    </xf>
  </cellStyleXfs>
  <cellXfs count="82">
    <xf numFmtId="0" fontId="0" fillId="0" borderId="0" xfId="0"/>
    <xf numFmtId="0" fontId="0" fillId="0" borderId="0" xfId="0" applyFont="1"/>
    <xf numFmtId="165" fontId="0" fillId="0" borderId="0" xfId="2" applyNumberFormat="1" applyFont="1"/>
    <xf numFmtId="0" fontId="11" fillId="4" borderId="0" xfId="0" applyFont="1" applyFill="1" applyAlignment="1">
      <alignment vertical="center"/>
    </xf>
    <xf numFmtId="165" fontId="11" fillId="5" borderId="0" xfId="2" applyNumberFormat="1" applyFont="1" applyFill="1" applyAlignment="1">
      <alignment vertical="center"/>
    </xf>
    <xf numFmtId="165" fontId="12" fillId="0" borderId="0" xfId="2" applyNumberFormat="1" applyFont="1"/>
    <xf numFmtId="165" fontId="15" fillId="9" borderId="11" xfId="2" applyNumberFormat="1" applyFont="1" applyFill="1" applyBorder="1" applyAlignment="1">
      <alignment horizontal="right"/>
    </xf>
    <xf numFmtId="165" fontId="15" fillId="9" borderId="12" xfId="2" applyNumberFormat="1" applyFont="1" applyFill="1" applyBorder="1" applyAlignment="1">
      <alignment horizontal="right"/>
    </xf>
    <xf numFmtId="165" fontId="15" fillId="9" borderId="12" xfId="2" applyNumberFormat="1" applyFont="1" applyFill="1" applyBorder="1" applyAlignment="1">
      <alignment horizontal="right" wrapText="1"/>
    </xf>
    <xf numFmtId="165" fontId="15" fillId="9" borderId="13" xfId="2" applyNumberFormat="1" applyFont="1" applyFill="1" applyBorder="1" applyAlignment="1">
      <alignment horizontal="right" wrapText="1"/>
    </xf>
    <xf numFmtId="165" fontId="7" fillId="10" borderId="14" xfId="2" applyNumberFormat="1" applyFont="1" applyFill="1" applyBorder="1"/>
    <xf numFmtId="165" fontId="9" fillId="10" borderId="15" xfId="2" applyNumberFormat="1" applyFont="1" applyFill="1" applyBorder="1"/>
    <xf numFmtId="165" fontId="9" fillId="10" borderId="16" xfId="2" applyNumberFormat="1" applyFont="1" applyFill="1" applyBorder="1"/>
    <xf numFmtId="165" fontId="7" fillId="11" borderId="17" xfId="2" applyNumberFormat="1" applyFont="1" applyFill="1" applyBorder="1"/>
    <xf numFmtId="165" fontId="9" fillId="11" borderId="18" xfId="2" applyNumberFormat="1" applyFont="1" applyFill="1" applyBorder="1"/>
    <xf numFmtId="165" fontId="9" fillId="11" borderId="19" xfId="2" applyNumberFormat="1" applyFont="1" applyFill="1" applyBorder="1"/>
    <xf numFmtId="165" fontId="16" fillId="5" borderId="20" xfId="2" applyNumberFormat="1" applyFont="1" applyFill="1" applyBorder="1"/>
    <xf numFmtId="165" fontId="16" fillId="5" borderId="21" xfId="2" applyNumberFormat="1" applyFont="1" applyFill="1" applyBorder="1"/>
    <xf numFmtId="165" fontId="16" fillId="5" borderId="22" xfId="2" applyNumberFormat="1" applyFont="1" applyFill="1" applyBorder="1"/>
    <xf numFmtId="165" fontId="8" fillId="0" borderId="23" xfId="2" applyNumberFormat="1" applyFont="1" applyBorder="1"/>
    <xf numFmtId="165" fontId="0" fillId="0" borderId="23" xfId="2" applyNumberFormat="1" applyFont="1" applyBorder="1"/>
    <xf numFmtId="165" fontId="8" fillId="0" borderId="24" xfId="2" applyNumberFormat="1" applyFont="1" applyBorder="1"/>
    <xf numFmtId="165" fontId="0" fillId="0" borderId="24" xfId="2" applyNumberFormat="1" applyFont="1" applyBorder="1"/>
    <xf numFmtId="165" fontId="8" fillId="12" borderId="24" xfId="2" applyNumberFormat="1" applyFont="1" applyFill="1" applyBorder="1" applyAlignment="1">
      <alignment horizontal="left" vertical="top"/>
    </xf>
    <xf numFmtId="165" fontId="0" fillId="12" borderId="24" xfId="2" applyNumberFormat="1" applyFont="1" applyFill="1" applyBorder="1" applyAlignment="1">
      <alignment horizontal="right" vertical="top" wrapText="1"/>
    </xf>
    <xf numFmtId="165" fontId="8" fillId="13" borderId="24" xfId="2" applyNumberFormat="1" applyFont="1" applyFill="1" applyBorder="1" applyAlignment="1">
      <alignment horizontal="left" vertical="top"/>
    </xf>
    <xf numFmtId="165" fontId="0" fillId="13" borderId="24" xfId="2" applyNumberFormat="1" applyFont="1" applyFill="1" applyBorder="1" applyAlignment="1">
      <alignment horizontal="right" vertical="top" wrapText="1"/>
    </xf>
    <xf numFmtId="0" fontId="8" fillId="0" borderId="0" xfId="0" applyFont="1" applyAlignment="1">
      <alignment horizontal="right"/>
    </xf>
    <xf numFmtId="165" fontId="8" fillId="0" borderId="0" xfId="2" applyNumberFormat="1" applyFont="1"/>
    <xf numFmtId="0" fontId="17" fillId="0" borderId="0" xfId="0" applyFont="1" applyAlignment="1">
      <alignment horizontal="left" vertical="center"/>
    </xf>
    <xf numFmtId="0" fontId="0" fillId="0" borderId="0" xfId="0" applyAlignment="1">
      <alignment horizontal="left" vertical="center" wrapText="1"/>
    </xf>
    <xf numFmtId="2" fontId="19" fillId="0" borderId="0" xfId="3" applyNumberFormat="1" applyFont="1" applyAlignment="1">
      <alignment horizontal="left" vertical="center"/>
    </xf>
    <xf numFmtId="0" fontId="9" fillId="0" borderId="0" xfId="4" quotePrefix="1">
      <alignment horizontal="center" vertical="center" wrapText="1"/>
    </xf>
    <xf numFmtId="0" fontId="0" fillId="0" borderId="0" xfId="0" applyFill="1" applyBorder="1" applyAlignment="1" applyProtection="1">
      <alignment horizontal="left" vertical="center" wrapText="1"/>
    </xf>
    <xf numFmtId="0" fontId="0" fillId="0" borderId="0" xfId="0" applyFill="1" applyBorder="1" applyAlignment="1" applyProtection="1">
      <alignment horizontal="right" vertical="center" indent="1"/>
    </xf>
    <xf numFmtId="166" fontId="20" fillId="0" borderId="0" xfId="5" applyNumberFormat="1" applyFill="1" applyBorder="1" applyAlignment="1" applyProtection="1">
      <alignment horizontal="left" vertical="center"/>
    </xf>
    <xf numFmtId="0" fontId="20" fillId="0" borderId="0" xfId="6" applyFill="1" applyBorder="1" applyProtection="1">
      <alignment vertical="center" wrapText="1"/>
    </xf>
    <xf numFmtId="0" fontId="0" fillId="0" borderId="0" xfId="0" applyFont="1" applyFill="1" applyBorder="1" applyAlignment="1" applyProtection="1">
      <alignment horizontal="left" vertical="center" wrapText="1"/>
    </xf>
    <xf numFmtId="0" fontId="0" fillId="0" borderId="0" xfId="0" applyFont="1" applyFill="1" applyBorder="1" applyAlignment="1" applyProtection="1">
      <alignment horizontal="right" vertical="center" indent="1"/>
    </xf>
    <xf numFmtId="0" fontId="2" fillId="0" borderId="0" xfId="0" applyFont="1" applyBorder="1" applyAlignment="1">
      <alignment horizontal="center" vertical="top"/>
    </xf>
    <xf numFmtId="0" fontId="17" fillId="0" borderId="7" xfId="0" applyFont="1" applyBorder="1" applyAlignment="1">
      <alignment horizontal="left" vertical="center"/>
    </xf>
    <xf numFmtId="0" fontId="17" fillId="0" borderId="0" xfId="0" applyFont="1" applyBorder="1" applyAlignment="1">
      <alignment horizontal="left" vertical="center"/>
    </xf>
    <xf numFmtId="0" fontId="17" fillId="0" borderId="8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17" fillId="0" borderId="0" xfId="0" applyFont="1" applyBorder="1" applyAlignment="1">
      <alignment horizontal="center" vertical="center"/>
    </xf>
    <xf numFmtId="0" fontId="5" fillId="3" borderId="0" xfId="0" applyFont="1" applyFill="1" applyBorder="1" applyAlignment="1">
      <alignment horizontal="left" vertical="center"/>
    </xf>
    <xf numFmtId="0" fontId="5" fillId="0" borderId="0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17" fillId="0" borderId="9" xfId="0" applyFont="1" applyBorder="1" applyAlignment="1">
      <alignment horizontal="left" vertical="center"/>
    </xf>
    <xf numFmtId="0" fontId="17" fillId="0" borderId="4" xfId="0" applyFont="1" applyBorder="1" applyAlignment="1">
      <alignment horizontal="left" vertical="center"/>
    </xf>
    <xf numFmtId="0" fontId="17" fillId="0" borderId="10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22" fillId="0" borderId="5" xfId="0" applyFont="1" applyFill="1" applyBorder="1" applyAlignment="1">
      <alignment horizontal="center" vertical="center" wrapText="1"/>
    </xf>
    <xf numFmtId="0" fontId="22" fillId="0" borderId="3" xfId="0" applyFont="1" applyFill="1" applyBorder="1" applyAlignment="1">
      <alignment horizontal="center" vertical="center"/>
    </xf>
    <xf numFmtId="0" fontId="22" fillId="0" borderId="7" xfId="0" applyFont="1" applyFill="1" applyBorder="1" applyAlignment="1">
      <alignment horizontal="center" vertical="center"/>
    </xf>
    <xf numFmtId="0" fontId="22" fillId="0" borderId="0" xfId="0" applyFont="1" applyFill="1" applyBorder="1" applyAlignment="1">
      <alignment horizontal="center" vertical="center"/>
    </xf>
    <xf numFmtId="0" fontId="22" fillId="0" borderId="9" xfId="0" applyFont="1" applyFill="1" applyBorder="1" applyAlignment="1">
      <alignment horizontal="center" vertical="center"/>
    </xf>
    <xf numFmtId="0" fontId="22" fillId="0" borderId="4" xfId="0" applyFont="1" applyFill="1" applyBorder="1" applyAlignment="1">
      <alignment horizontal="center" vertical="center"/>
    </xf>
    <xf numFmtId="0" fontId="23" fillId="0" borderId="3" xfId="0" applyFont="1" applyFill="1" applyBorder="1" applyAlignment="1">
      <alignment horizontal="center" vertical="center"/>
    </xf>
    <xf numFmtId="0" fontId="23" fillId="0" borderId="6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vertical="center"/>
    </xf>
    <xf numFmtId="0" fontId="23" fillId="0" borderId="8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 wrapText="1"/>
    </xf>
    <xf numFmtId="0" fontId="24" fillId="0" borderId="0" xfId="0" applyFont="1" applyFill="1" applyBorder="1" applyAlignment="1">
      <alignment horizontal="center" vertical="center"/>
    </xf>
    <xf numFmtId="0" fontId="24" fillId="0" borderId="8" xfId="0" applyFont="1" applyFill="1" applyBorder="1" applyAlignment="1">
      <alignment horizontal="center" vertical="center"/>
    </xf>
    <xf numFmtId="0" fontId="24" fillId="0" borderId="4" xfId="0" applyFont="1" applyFill="1" applyBorder="1" applyAlignment="1">
      <alignment horizontal="center" vertical="center"/>
    </xf>
    <xf numFmtId="0" fontId="24" fillId="0" borderId="10" xfId="0" applyFont="1" applyFill="1" applyBorder="1" applyAlignment="1">
      <alignment horizontal="center" vertical="center"/>
    </xf>
    <xf numFmtId="164" fontId="5" fillId="0" borderId="0" xfId="1" applyFont="1" applyBorder="1" applyAlignment="1">
      <alignment horizontal="center"/>
    </xf>
    <xf numFmtId="0" fontId="3" fillId="0" borderId="1" xfId="0" applyNumberFormat="1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top"/>
    </xf>
    <xf numFmtId="0" fontId="5" fillId="0" borderId="25" xfId="0" applyFont="1" applyBorder="1" applyAlignment="1">
      <alignment horizontal="center" vertical="center"/>
    </xf>
    <xf numFmtId="0" fontId="26" fillId="9" borderId="3" xfId="0" applyFont="1" applyFill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5" fillId="2" borderId="0" xfId="0" applyFont="1" applyFill="1" applyBorder="1" applyAlignment="1">
      <alignment horizontal="left" vertical="center"/>
    </xf>
    <xf numFmtId="0" fontId="5" fillId="0" borderId="0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165" fontId="4" fillId="2" borderId="2" xfId="1" applyNumberFormat="1" applyFont="1" applyFill="1" applyBorder="1" applyAlignment="1">
      <alignment horizontal="center" vertical="center"/>
    </xf>
    <xf numFmtId="0" fontId="25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left" vertical="center"/>
    </xf>
    <xf numFmtId="0" fontId="10" fillId="6" borderId="0" xfId="0" applyFont="1" applyFill="1" applyAlignment="1">
      <alignment horizontal="center"/>
    </xf>
    <xf numFmtId="0" fontId="13" fillId="7" borderId="0" xfId="0" applyFont="1" applyFill="1" applyAlignment="1">
      <alignment horizontal="left" vertical="center"/>
    </xf>
    <xf numFmtId="0" fontId="14" fillId="8" borderId="0" xfId="2" applyNumberFormat="1" applyFont="1" applyFill="1" applyAlignment="1">
      <alignment horizontal="left" vertical="center" wrapText="1"/>
    </xf>
  </cellXfs>
  <cellStyles count="8">
    <cellStyle name="Comma" xfId="1" builtinId="3"/>
    <cellStyle name="Comma 2" xfId="2"/>
    <cellStyle name="Hyperlink" xfId="6" builtinId="8"/>
    <cellStyle name="Invoice details" xfId="7"/>
    <cellStyle name="Normal" xfId="0" builtinId="0"/>
    <cellStyle name="Phone" xfId="5"/>
    <cellStyle name="Title" xfId="3" builtinId="15"/>
    <cellStyle name="znavigation cell" xfId="4"/>
  </cellStyles>
  <dxfs count="10">
    <dxf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_(* #,##0_);_(* \(#,##0\);_(* &quot;-&quot;??_);_(@_)"/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b/>
        <strike val="0"/>
        <outline val="0"/>
        <shadow val="0"/>
        <u val="none"/>
        <vertAlign val="baseline"/>
        <sz val="11"/>
        <color theme="1"/>
        <name val="Calibri"/>
        <scheme val="minor"/>
      </font>
    </dxf>
    <dxf>
      <fill>
        <patternFill patternType="solid">
          <fgColor theme="4" tint="0.79995117038483843"/>
          <bgColor theme="2"/>
        </patternFill>
      </fill>
    </dxf>
    <dxf>
      <fill>
        <patternFill patternType="solid">
          <fgColor theme="4" tint="0.79995117038483843"/>
          <bgColor theme="2"/>
        </patternFill>
      </fill>
    </dxf>
    <dxf>
      <font>
        <b/>
        <i val="0"/>
      </font>
      <border>
        <bottom style="double">
          <color theme="4" tint="-0.24994659260841701"/>
        </bottom>
      </border>
    </dxf>
    <dxf>
      <font>
        <b/>
        <i val="0"/>
        <color theme="3"/>
      </font>
      <fill>
        <patternFill patternType="none">
          <bgColor auto="1"/>
        </patternFill>
      </fill>
      <border>
        <left/>
        <right/>
        <top style="thick">
          <color theme="4" tint="-0.24994659260841701"/>
        </top>
        <bottom style="thick">
          <color theme="4" tint="-0.24994659260841701"/>
        </bottom>
        <vertical/>
        <horizontal/>
      </border>
    </dxf>
    <dxf>
      <border diagonalUp="0" diagonalDown="0">
        <left/>
        <right/>
        <top/>
        <bottom style="thick">
          <color theme="4" tint="-0.24994659260841701"/>
        </bottom>
        <vertical/>
        <horizontal/>
      </border>
    </dxf>
  </dxfs>
  <tableStyles count="1" defaultTableStyle="TableStyleMedium2" defaultPivotStyle="PivotStyleLight16">
    <tableStyle name="Commercial Invoice" pivot="0" count="5">
      <tableStyleElement type="wholeTable" dxfId="9"/>
      <tableStyleElement type="headerRow" dxfId="8"/>
      <tableStyleElement type="totalRow" dxfId="7"/>
      <tableStyleElement type="firstRowStripe" dxfId="6"/>
      <tableStyleElement type="firstColumnStripe" dxfId="5"/>
    </tableStyle>
  </tableStyles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'Commercial Invoice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152400</xdr:colOff>
      <xdr:row>0</xdr:row>
      <xdr:rowOff>38100</xdr:rowOff>
    </xdr:from>
    <xdr:to>
      <xdr:col>21</xdr:col>
      <xdr:colOff>76200</xdr:colOff>
      <xdr:row>4</xdr:row>
      <xdr:rowOff>317500</xdr:rowOff>
    </xdr:to>
    <xdr:pic>
      <xdr:nvPicPr>
        <xdr:cNvPr id="5" name="Picture 4">
          <a:extLst>
            <a:ext uri="{FF2B5EF4-FFF2-40B4-BE49-F238E27FC236}">
              <a16:creationId xmlns="" xmlns:a16="http://schemas.microsoft.com/office/drawing/2014/main" id="{FA780179-32A5-461C-A484-0B458B1098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7100" y="38100"/>
          <a:ext cx="2971800" cy="18542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28575</xdr:colOff>
      <xdr:row>0</xdr:row>
      <xdr:rowOff>66673</xdr:rowOff>
    </xdr:from>
    <xdr:to>
      <xdr:col>12</xdr:col>
      <xdr:colOff>1464183</xdr:colOff>
      <xdr:row>0</xdr:row>
      <xdr:rowOff>478153</xdr:rowOff>
    </xdr:to>
    <xdr:sp macro="" textlink="">
      <xdr:nvSpPr>
        <xdr:cNvPr id="2" name="Arrow: Pentagon 1" descr="Select to navigate to Commercial Invoice worksheet">
          <a:hlinkClick xmlns:r="http://schemas.openxmlformats.org/officeDocument/2006/relationships" r:id="rId1" tooltip="Select to navigate to Commercial Invoice worksheet"/>
          <a:extLst>
            <a:ext uri="{FF2B5EF4-FFF2-40B4-BE49-F238E27FC236}">
              <a16:creationId xmlns:a16="http://schemas.microsoft.com/office/drawing/2014/main" xmlns="" id="{A369B219-35C8-4A3B-AB52-F207ECE6F82D}"/>
            </a:ext>
          </a:extLst>
        </xdr:cNvPr>
        <xdr:cNvSpPr/>
      </xdr:nvSpPr>
      <xdr:spPr>
        <a:xfrm flipH="1">
          <a:off x="13030200" y="66673"/>
          <a:ext cx="1435608" cy="411480"/>
        </a:xfrm>
        <a:prstGeom prst="homePlate">
          <a:avLst/>
        </a:prstGeom>
        <a:solidFill>
          <a:schemeClr val="tx2"/>
        </a:solidFill>
        <a:ln>
          <a:solidFill>
            <a:schemeClr val="tx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0">
              <a:solidFill>
                <a:schemeClr val="bg1"/>
              </a:solidFill>
            </a:rPr>
            <a:t>Commercial</a:t>
          </a:r>
          <a:r>
            <a:rPr lang="en-US" sz="1100" b="0" baseline="0">
              <a:solidFill>
                <a:schemeClr val="bg1"/>
              </a:solidFill>
            </a:rPr>
            <a:t> Invoice</a:t>
          </a:r>
          <a:endParaRPr lang="en-US" sz="1100" b="0">
            <a:solidFill>
              <a:schemeClr val="bg1"/>
            </a:solidFill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er\Downloads\Excelku.com%20-%20Rumus%20Terbilang%20Tanpa%20Macr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Rumus Terbilang"/>
    </sheetNames>
    <sheetDataSet>
      <sheetData sheetId="0">
        <row r="37">
          <cell r="E37">
            <v>49970000</v>
          </cell>
        </row>
      </sheetData>
      <sheetData sheetId="1"/>
    </sheetDataSet>
  </externalBook>
</externalLink>
</file>

<file path=xl/tables/table1.xml><?xml version="1.0" encoding="utf-8"?>
<table xmlns="http://schemas.openxmlformats.org/spreadsheetml/2006/main" id="1" name="tblTerbilang" displayName="tblTerbilang" ref="B24:C44" totalsRowShown="0" headerRowDxfId="4" dataDxfId="3">
  <autoFilter ref="B24:C44"/>
  <tableColumns count="2">
    <tableColumn id="1" name="Angka        " dataDxfId="2"/>
    <tableColumn id="2" name="Terbilang" dataDxfId="1" dataCellStyle="Comm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ustomerList" displayName="CustomerList" ref="B2:K5">
  <autoFilter ref="B2:K5"/>
  <tableColumns count="10">
    <tableColumn id="2" name="Company Name"/>
    <tableColumn id="3" name="Contact Name"/>
    <tableColumn id="4" name="Address"/>
    <tableColumn id="1" name="Address 2"/>
    <tableColumn id="5" name="City"/>
    <tableColumn id="6" name="State"/>
    <tableColumn id="7" name="ZIP Code" dataDxfId="0"/>
    <tableColumn id="8" name="Phone" dataCellStyle="Phone"/>
    <tableColumn id="10" name="Email"/>
    <tableColumn id="11" name="Fax" dataCellStyle="Phone"/>
  </tableColumns>
  <tableStyleInfo name="Commercial Invoice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image" Target="../media/image2.png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hyperlink" Target="mailto:henry_ong18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62"/>
    <pageSetUpPr fitToPage="1"/>
  </sheetPr>
  <dimension ref="A1:BY28"/>
  <sheetViews>
    <sheetView tabSelected="1" zoomScale="50" zoomScaleNormal="50" zoomScaleSheetLayoutView="55" workbookViewId="0">
      <selection activeCell="BH22" sqref="BH22"/>
    </sheetView>
  </sheetViews>
  <sheetFormatPr defaultColWidth="0" defaultRowHeight="30.75" customHeight="1" zeroHeight="1" x14ac:dyDescent="0.35"/>
  <cols>
    <col min="1" max="1" width="0.1796875" style="29" customWidth="1"/>
    <col min="2" max="44" width="2.7265625" style="29" customWidth="1"/>
    <col min="45" max="45" width="10.7265625" style="29" customWidth="1"/>
    <col min="46" max="49" width="2.7265625" style="29" customWidth="1"/>
    <col min="50" max="50" width="3.54296875" style="29" customWidth="1"/>
    <col min="51" max="51" width="2.7265625" style="29" customWidth="1"/>
    <col min="52" max="52" width="1.7265625" style="29" customWidth="1"/>
    <col min="53" max="53" width="5.453125" style="29" customWidth="1"/>
    <col min="54" max="54" width="6.26953125" style="29" customWidth="1"/>
    <col min="55" max="55" width="4.26953125" style="29" customWidth="1"/>
    <col min="56" max="56" width="3.453125" style="29" customWidth="1"/>
    <col min="57" max="58" width="2.7265625" style="29" customWidth="1"/>
    <col min="59" max="59" width="3.81640625" style="29" customWidth="1"/>
    <col min="60" max="71" width="2.7265625" style="29" customWidth="1"/>
    <col min="72" max="72" width="5.81640625" style="29" customWidth="1"/>
    <col min="73" max="75" width="2.7265625" style="29" customWidth="1"/>
    <col min="76" max="77" width="2.7265625" style="29" hidden="1" customWidth="1"/>
    <col min="78" max="16384" width="0" style="29" hidden="1"/>
  </cols>
  <sheetData>
    <row r="1" spans="1:74" ht="30.75" customHeight="1" thickTop="1" x14ac:dyDescent="0.35">
      <c r="A1" s="52"/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8" t="s">
        <v>71</v>
      </c>
      <c r="AA1" s="58"/>
      <c r="AB1" s="58"/>
      <c r="AC1" s="58"/>
      <c r="AD1" s="58"/>
      <c r="AE1" s="58"/>
      <c r="AF1" s="58"/>
      <c r="AG1" s="58"/>
      <c r="AH1" s="58"/>
      <c r="AI1" s="58"/>
      <c r="AJ1" s="58"/>
      <c r="AK1" s="58"/>
      <c r="AL1" s="58"/>
      <c r="AM1" s="58"/>
      <c r="AN1" s="58"/>
      <c r="AO1" s="58"/>
      <c r="AP1" s="58"/>
      <c r="AQ1" s="58"/>
      <c r="AR1" s="58"/>
      <c r="AS1" s="58"/>
      <c r="AT1" s="58"/>
      <c r="AU1" s="58"/>
      <c r="AV1" s="58"/>
      <c r="AW1" s="58"/>
      <c r="AX1" s="58"/>
      <c r="AY1" s="58"/>
      <c r="AZ1" s="58"/>
      <c r="BA1" s="58"/>
      <c r="BB1" s="58"/>
      <c r="BC1" s="58"/>
      <c r="BD1" s="58"/>
      <c r="BE1" s="58"/>
      <c r="BF1" s="58"/>
      <c r="BG1" s="58"/>
      <c r="BH1" s="58"/>
      <c r="BI1" s="58"/>
      <c r="BJ1" s="58"/>
      <c r="BK1" s="58"/>
      <c r="BL1" s="58"/>
      <c r="BM1" s="58"/>
      <c r="BN1" s="58"/>
      <c r="BO1" s="58"/>
      <c r="BP1" s="58"/>
      <c r="BQ1" s="58"/>
      <c r="BR1" s="58"/>
      <c r="BS1" s="58"/>
      <c r="BT1" s="58"/>
      <c r="BU1" s="58"/>
      <c r="BV1" s="59"/>
    </row>
    <row r="2" spans="1:74" ht="30.75" customHeight="1" x14ac:dyDescent="0.35">
      <c r="A2" s="54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60"/>
      <c r="AA2" s="60"/>
      <c r="AB2" s="60"/>
      <c r="AC2" s="60"/>
      <c r="AD2" s="60"/>
      <c r="AE2" s="60"/>
      <c r="AF2" s="60"/>
      <c r="AG2" s="60"/>
      <c r="AH2" s="60"/>
      <c r="AI2" s="60"/>
      <c r="AJ2" s="60"/>
      <c r="AK2" s="60"/>
      <c r="AL2" s="60"/>
      <c r="AM2" s="60"/>
      <c r="AN2" s="60"/>
      <c r="AO2" s="60"/>
      <c r="AP2" s="60"/>
      <c r="AQ2" s="60"/>
      <c r="AR2" s="60"/>
      <c r="AS2" s="60"/>
      <c r="AT2" s="60"/>
      <c r="AU2" s="60"/>
      <c r="AV2" s="60"/>
      <c r="AW2" s="60"/>
      <c r="AX2" s="60"/>
      <c r="AY2" s="60"/>
      <c r="AZ2" s="60"/>
      <c r="BA2" s="60"/>
      <c r="BB2" s="60"/>
      <c r="BC2" s="60"/>
      <c r="BD2" s="60"/>
      <c r="BE2" s="60"/>
      <c r="BF2" s="60"/>
      <c r="BG2" s="60"/>
      <c r="BH2" s="60"/>
      <c r="BI2" s="60"/>
      <c r="BJ2" s="60"/>
      <c r="BK2" s="60"/>
      <c r="BL2" s="60"/>
      <c r="BM2" s="60"/>
      <c r="BN2" s="60"/>
      <c r="BO2" s="60"/>
      <c r="BP2" s="60"/>
      <c r="BQ2" s="60"/>
      <c r="BR2" s="60"/>
      <c r="BS2" s="60"/>
      <c r="BT2" s="60"/>
      <c r="BU2" s="60"/>
      <c r="BV2" s="61"/>
    </row>
    <row r="3" spans="1:74" ht="30.75" customHeight="1" x14ac:dyDescent="0.35">
      <c r="A3" s="54"/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55"/>
      <c r="X3" s="55"/>
      <c r="Y3" s="55"/>
      <c r="Z3" s="62" t="s">
        <v>72</v>
      </c>
      <c r="AA3" s="63"/>
      <c r="AB3" s="63"/>
      <c r="AC3" s="63"/>
      <c r="AD3" s="63"/>
      <c r="AE3" s="63"/>
      <c r="AF3" s="63"/>
      <c r="AG3" s="63"/>
      <c r="AH3" s="63"/>
      <c r="AI3" s="63"/>
      <c r="AJ3" s="63"/>
      <c r="AK3" s="63"/>
      <c r="AL3" s="63"/>
      <c r="AM3" s="63"/>
      <c r="AN3" s="63"/>
      <c r="AO3" s="63"/>
      <c r="AP3" s="63"/>
      <c r="AQ3" s="63"/>
      <c r="AR3" s="63"/>
      <c r="AS3" s="63"/>
      <c r="AT3" s="63"/>
      <c r="AU3" s="63"/>
      <c r="AV3" s="63"/>
      <c r="AW3" s="63"/>
      <c r="AX3" s="63"/>
      <c r="AY3" s="63"/>
      <c r="AZ3" s="63"/>
      <c r="BA3" s="63"/>
      <c r="BB3" s="63"/>
      <c r="BC3" s="63"/>
      <c r="BD3" s="63"/>
      <c r="BE3" s="63"/>
      <c r="BF3" s="63"/>
      <c r="BG3" s="63"/>
      <c r="BH3" s="63"/>
      <c r="BI3" s="63"/>
      <c r="BJ3" s="63"/>
      <c r="BK3" s="63"/>
      <c r="BL3" s="63"/>
      <c r="BM3" s="63"/>
      <c r="BN3" s="63"/>
      <c r="BO3" s="63"/>
      <c r="BP3" s="63"/>
      <c r="BQ3" s="63"/>
      <c r="BR3" s="63"/>
      <c r="BS3" s="63"/>
      <c r="BT3" s="63"/>
      <c r="BU3" s="63"/>
      <c r="BV3" s="64"/>
    </row>
    <row r="4" spans="1:74" ht="30.75" customHeight="1" x14ac:dyDescent="0.35">
      <c r="A4" s="54"/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63"/>
      <c r="AA4" s="63"/>
      <c r="AB4" s="63"/>
      <c r="AC4" s="63"/>
      <c r="AD4" s="63"/>
      <c r="AE4" s="63"/>
      <c r="AF4" s="63"/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3"/>
      <c r="AS4" s="63"/>
      <c r="AT4" s="63"/>
      <c r="AU4" s="63"/>
      <c r="AV4" s="63"/>
      <c r="AW4" s="63"/>
      <c r="AX4" s="63"/>
      <c r="AY4" s="63"/>
      <c r="AZ4" s="63"/>
      <c r="BA4" s="63"/>
      <c r="BB4" s="63"/>
      <c r="BC4" s="63"/>
      <c r="BD4" s="63"/>
      <c r="BE4" s="63"/>
      <c r="BF4" s="63"/>
      <c r="BG4" s="63"/>
      <c r="BH4" s="63"/>
      <c r="BI4" s="63"/>
      <c r="BJ4" s="63"/>
      <c r="BK4" s="63"/>
      <c r="BL4" s="63"/>
      <c r="BM4" s="63"/>
      <c r="BN4" s="63"/>
      <c r="BO4" s="63"/>
      <c r="BP4" s="63"/>
      <c r="BQ4" s="63"/>
      <c r="BR4" s="63"/>
      <c r="BS4" s="63"/>
      <c r="BT4" s="63"/>
      <c r="BU4" s="63"/>
      <c r="BV4" s="64"/>
    </row>
    <row r="5" spans="1:74" ht="30.75" customHeight="1" thickBot="1" x14ac:dyDescent="0.4">
      <c r="A5" s="56"/>
      <c r="B5" s="57"/>
      <c r="C5" s="57"/>
      <c r="D5" s="57"/>
      <c r="E5" s="57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57"/>
      <c r="T5" s="57"/>
      <c r="U5" s="57"/>
      <c r="V5" s="57"/>
      <c r="W5" s="57"/>
      <c r="X5" s="57"/>
      <c r="Y5" s="57"/>
      <c r="Z5" s="65"/>
      <c r="AA5" s="65"/>
      <c r="AB5" s="65"/>
      <c r="AC5" s="65"/>
      <c r="AD5" s="65"/>
      <c r="AE5" s="65"/>
      <c r="AF5" s="65"/>
      <c r="AG5" s="65"/>
      <c r="AH5" s="65"/>
      <c r="AI5" s="65"/>
      <c r="AJ5" s="65"/>
      <c r="AK5" s="65"/>
      <c r="AL5" s="65"/>
      <c r="AM5" s="65"/>
      <c r="AN5" s="65"/>
      <c r="AO5" s="65"/>
      <c r="AP5" s="65"/>
      <c r="AQ5" s="65"/>
      <c r="AR5" s="65"/>
      <c r="AS5" s="65"/>
      <c r="AT5" s="65"/>
      <c r="AU5" s="65"/>
      <c r="AV5" s="65"/>
      <c r="AW5" s="65"/>
      <c r="AX5" s="65"/>
      <c r="AY5" s="65"/>
      <c r="AZ5" s="65"/>
      <c r="BA5" s="65"/>
      <c r="BB5" s="65"/>
      <c r="BC5" s="65"/>
      <c r="BD5" s="65"/>
      <c r="BE5" s="65"/>
      <c r="BF5" s="65"/>
      <c r="BG5" s="65"/>
      <c r="BH5" s="65"/>
      <c r="BI5" s="65"/>
      <c r="BJ5" s="65"/>
      <c r="BK5" s="65"/>
      <c r="BL5" s="65"/>
      <c r="BM5" s="65"/>
      <c r="BN5" s="65"/>
      <c r="BO5" s="65"/>
      <c r="BP5" s="65"/>
      <c r="BQ5" s="65"/>
      <c r="BR5" s="65"/>
      <c r="BS5" s="65"/>
      <c r="BT5" s="65"/>
      <c r="BU5" s="65"/>
      <c r="BV5" s="66"/>
    </row>
    <row r="6" spans="1:74" ht="15" thickTop="1" x14ac:dyDescent="0.35">
      <c r="A6" s="40"/>
      <c r="B6" s="41"/>
      <c r="C6" s="41"/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2"/>
    </row>
    <row r="7" spans="1:74" ht="30.75" customHeight="1" x14ac:dyDescent="0.45">
      <c r="A7" s="40"/>
      <c r="B7" s="41"/>
      <c r="C7" s="67" t="s">
        <v>0</v>
      </c>
      <c r="D7" s="67"/>
      <c r="E7" s="67"/>
      <c r="F7" s="68">
        <v>2</v>
      </c>
      <c r="G7" s="68"/>
      <c r="H7" s="68"/>
      <c r="I7" s="68"/>
      <c r="J7" s="68"/>
      <c r="K7" s="68"/>
      <c r="L7" s="68"/>
      <c r="M7" s="68"/>
      <c r="N7" s="68"/>
      <c r="O7" s="68"/>
      <c r="P7" s="43"/>
      <c r="Q7" s="69" t="s">
        <v>1</v>
      </c>
      <c r="R7" s="69"/>
      <c r="S7" s="69"/>
      <c r="T7" s="69"/>
      <c r="U7" s="69"/>
      <c r="V7" s="69"/>
      <c r="W7" s="69"/>
      <c r="X7" s="69"/>
      <c r="Y7" s="69"/>
      <c r="Z7" s="69"/>
      <c r="AA7" s="69"/>
      <c r="AB7" s="69"/>
      <c r="AC7" s="69"/>
      <c r="AD7" s="69"/>
      <c r="AE7" s="69"/>
      <c r="AF7" s="69"/>
      <c r="AG7" s="69"/>
      <c r="AH7" s="69"/>
      <c r="AI7" s="69"/>
      <c r="AJ7" s="69"/>
      <c r="AK7" s="69"/>
      <c r="AL7" s="69"/>
      <c r="AM7" s="69"/>
      <c r="AN7" s="69"/>
      <c r="AO7" s="69"/>
      <c r="AP7" s="69"/>
      <c r="AQ7" s="69"/>
      <c r="AR7" s="69"/>
      <c r="AS7" s="69"/>
      <c r="AT7" s="69"/>
      <c r="AU7" s="69"/>
      <c r="AV7" s="69"/>
      <c r="AW7" s="69"/>
      <c r="AX7" s="69"/>
      <c r="AY7" s="69"/>
      <c r="AZ7" s="69"/>
      <c r="BA7" s="69"/>
      <c r="BB7" s="69"/>
      <c r="BC7" s="69"/>
      <c r="BD7" s="69"/>
      <c r="BE7" s="69"/>
      <c r="BF7" s="69"/>
      <c r="BG7" s="69"/>
      <c r="BH7" s="69"/>
      <c r="BI7" s="69"/>
      <c r="BJ7" s="69"/>
      <c r="BK7" s="69"/>
      <c r="BL7" s="69"/>
      <c r="BM7" s="69"/>
      <c r="BN7" s="69"/>
      <c r="BO7" s="69"/>
      <c r="BP7" s="69"/>
      <c r="BQ7" s="69"/>
      <c r="BR7" s="69"/>
      <c r="BS7" s="69"/>
      <c r="BT7" s="69"/>
      <c r="BU7" s="39"/>
      <c r="BV7" s="42"/>
    </row>
    <row r="8" spans="1:74" ht="30.75" customHeight="1" x14ac:dyDescent="0.35">
      <c r="A8" s="40"/>
      <c r="B8" s="41"/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3"/>
      <c r="O8" s="43"/>
      <c r="P8" s="43"/>
      <c r="Q8" s="69"/>
      <c r="R8" s="69"/>
      <c r="S8" s="69"/>
      <c r="T8" s="69"/>
      <c r="U8" s="69"/>
      <c r="V8" s="69"/>
      <c r="W8" s="69"/>
      <c r="X8" s="69"/>
      <c r="Y8" s="69"/>
      <c r="Z8" s="69"/>
      <c r="AA8" s="69"/>
      <c r="AB8" s="69"/>
      <c r="AC8" s="69"/>
      <c r="AD8" s="69"/>
      <c r="AE8" s="69"/>
      <c r="AF8" s="69"/>
      <c r="AG8" s="69"/>
      <c r="AH8" s="69"/>
      <c r="AI8" s="69"/>
      <c r="AJ8" s="69"/>
      <c r="AK8" s="69"/>
      <c r="AL8" s="69"/>
      <c r="AM8" s="69"/>
      <c r="AN8" s="69"/>
      <c r="AO8" s="69"/>
      <c r="AP8" s="69"/>
      <c r="AQ8" s="69"/>
      <c r="AR8" s="69"/>
      <c r="AS8" s="69"/>
      <c r="AT8" s="69"/>
      <c r="AU8" s="69"/>
      <c r="AV8" s="69"/>
      <c r="AW8" s="69"/>
      <c r="AX8" s="69"/>
      <c r="AY8" s="69"/>
      <c r="AZ8" s="69"/>
      <c r="BA8" s="69"/>
      <c r="BB8" s="69"/>
      <c r="BC8" s="69"/>
      <c r="BD8" s="69"/>
      <c r="BE8" s="69"/>
      <c r="BF8" s="69"/>
      <c r="BG8" s="69"/>
      <c r="BH8" s="69"/>
      <c r="BI8" s="69"/>
      <c r="BJ8" s="69"/>
      <c r="BK8" s="69"/>
      <c r="BL8" s="69"/>
      <c r="BM8" s="69"/>
      <c r="BN8" s="69"/>
      <c r="BO8" s="69"/>
      <c r="BP8" s="69"/>
      <c r="BQ8" s="69"/>
      <c r="BR8" s="69"/>
      <c r="BS8" s="69"/>
      <c r="BT8" s="69"/>
      <c r="BU8" s="39"/>
      <c r="BV8" s="42"/>
    </row>
    <row r="9" spans="1:74" ht="30.75" customHeight="1" x14ac:dyDescent="0.35">
      <c r="A9" s="40"/>
      <c r="B9" s="41"/>
      <c r="C9" s="43" t="s">
        <v>2</v>
      </c>
      <c r="D9" s="43"/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  <c r="P9" s="43" t="s">
        <v>3</v>
      </c>
      <c r="Q9" s="51" t="s">
        <v>73</v>
      </c>
      <c r="R9" s="51"/>
      <c r="S9" s="51"/>
      <c r="T9" s="51"/>
      <c r="U9" s="51"/>
      <c r="V9" s="51"/>
      <c r="W9" s="51"/>
      <c r="X9" s="51"/>
      <c r="Y9" s="51"/>
      <c r="Z9" s="51"/>
      <c r="AA9" s="51"/>
      <c r="AB9" s="51"/>
      <c r="AC9" s="51"/>
      <c r="AD9" s="51"/>
      <c r="AE9" s="51"/>
      <c r="AF9" s="51"/>
      <c r="AG9" s="51"/>
      <c r="AH9" s="51"/>
      <c r="AI9" s="51"/>
      <c r="AJ9" s="51"/>
      <c r="AK9" s="51"/>
      <c r="AL9" s="51"/>
      <c r="AM9" s="51"/>
      <c r="AN9" s="51"/>
      <c r="AO9" s="51"/>
      <c r="AP9" s="51"/>
      <c r="AQ9" s="51"/>
      <c r="AR9" s="51"/>
      <c r="AS9" s="51"/>
      <c r="AT9" s="51"/>
      <c r="AU9" s="51"/>
      <c r="AV9" s="51"/>
      <c r="AW9" s="51"/>
      <c r="AX9" s="51"/>
      <c r="AY9" s="51"/>
      <c r="AZ9" s="51"/>
      <c r="BA9" s="51"/>
      <c r="BB9" s="51"/>
      <c r="BC9" s="51"/>
      <c r="BD9" s="51"/>
      <c r="BE9" s="51"/>
      <c r="BF9" s="51"/>
      <c r="BG9" s="51"/>
      <c r="BH9" s="51"/>
      <c r="BI9" s="51"/>
      <c r="BJ9" s="51"/>
      <c r="BK9" s="51"/>
      <c r="BL9" s="51"/>
      <c r="BM9" s="51"/>
      <c r="BN9" s="51"/>
      <c r="BO9" s="51"/>
      <c r="BP9" s="51"/>
      <c r="BQ9" s="51"/>
      <c r="BR9" s="51"/>
      <c r="BS9" s="51"/>
      <c r="BT9" s="51"/>
      <c r="BU9" s="43"/>
      <c r="BV9" s="42"/>
    </row>
    <row r="10" spans="1:74" ht="12.75" customHeight="1" x14ac:dyDescent="0.35">
      <c r="A10" s="40"/>
      <c r="B10" s="41"/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4"/>
      <c r="AU10" s="44"/>
      <c r="AV10" s="44"/>
      <c r="AW10" s="44"/>
      <c r="AX10" s="44"/>
      <c r="AY10" s="44"/>
      <c r="AZ10" s="44"/>
      <c r="BA10" s="44"/>
      <c r="BB10" s="44"/>
      <c r="BC10" s="44"/>
      <c r="BD10" s="44"/>
      <c r="BE10" s="44"/>
      <c r="BF10" s="44"/>
      <c r="BG10" s="44"/>
      <c r="BH10" s="44"/>
      <c r="BI10" s="44"/>
      <c r="BJ10" s="44"/>
      <c r="BK10" s="44"/>
      <c r="BL10" s="44"/>
      <c r="BM10" s="44"/>
      <c r="BN10" s="44"/>
      <c r="BO10" s="44"/>
      <c r="BP10" s="44"/>
      <c r="BQ10" s="44"/>
      <c r="BR10" s="44"/>
      <c r="BS10" s="44"/>
      <c r="BT10" s="44"/>
      <c r="BU10" s="44"/>
      <c r="BV10" s="42"/>
    </row>
    <row r="11" spans="1:74" ht="30.75" customHeight="1" x14ac:dyDescent="0.35">
      <c r="A11" s="40"/>
      <c r="B11" s="41"/>
      <c r="C11" s="78" t="s">
        <v>4</v>
      </c>
      <c r="D11" s="78"/>
      <c r="E11" s="78"/>
      <c r="F11" s="78"/>
      <c r="G11" s="78"/>
      <c r="H11" s="78"/>
      <c r="I11" s="78"/>
      <c r="J11" s="78"/>
      <c r="K11" s="78"/>
      <c r="L11" s="78"/>
      <c r="M11" s="78"/>
      <c r="N11" s="78"/>
      <c r="O11" s="78"/>
      <c r="P11" s="74" t="s">
        <v>3</v>
      </c>
      <c r="Q11" s="73" t="str">
        <f>"# "&amp;PROPER('Rumus Terbilang'!C4&amp;" rupiah")&amp;" #"</f>
        <v># Tiga Ratus Sembilan Puluh Tiga Juta Tujuh Belas Ribu Seratus Rupiah #</v>
      </c>
      <c r="R11" s="73"/>
      <c r="S11" s="73"/>
      <c r="T11" s="73"/>
      <c r="U11" s="73"/>
      <c r="V11" s="73"/>
      <c r="W11" s="73"/>
      <c r="X11" s="73"/>
      <c r="Y11" s="73"/>
      <c r="Z11" s="73"/>
      <c r="AA11" s="73"/>
      <c r="AB11" s="73"/>
      <c r="AC11" s="73"/>
      <c r="AD11" s="73"/>
      <c r="AE11" s="73"/>
      <c r="AF11" s="73"/>
      <c r="AG11" s="73"/>
      <c r="AH11" s="73"/>
      <c r="AI11" s="73"/>
      <c r="AJ11" s="73"/>
      <c r="AK11" s="73"/>
      <c r="AL11" s="73"/>
      <c r="AM11" s="73"/>
      <c r="AN11" s="73"/>
      <c r="AO11" s="73"/>
      <c r="AP11" s="73"/>
      <c r="AQ11" s="73"/>
      <c r="AR11" s="73"/>
      <c r="AS11" s="73"/>
      <c r="AT11" s="73"/>
      <c r="AU11" s="73"/>
      <c r="AV11" s="73"/>
      <c r="AW11" s="73"/>
      <c r="AX11" s="73"/>
      <c r="AY11" s="73"/>
      <c r="AZ11" s="73"/>
      <c r="BA11" s="73"/>
      <c r="BB11" s="73"/>
      <c r="BC11" s="73"/>
      <c r="BD11" s="73"/>
      <c r="BE11" s="73"/>
      <c r="BF11" s="73"/>
      <c r="BG11" s="73"/>
      <c r="BH11" s="73"/>
      <c r="BI11" s="73"/>
      <c r="BJ11" s="73"/>
      <c r="BK11" s="73"/>
      <c r="BL11" s="73"/>
      <c r="BM11" s="73"/>
      <c r="BN11" s="73"/>
      <c r="BO11" s="73"/>
      <c r="BP11" s="73"/>
      <c r="BQ11" s="73"/>
      <c r="BR11" s="73"/>
      <c r="BS11" s="73"/>
      <c r="BT11" s="73"/>
      <c r="BU11" s="45"/>
      <c r="BV11" s="42"/>
    </row>
    <row r="12" spans="1:74" ht="32.25" customHeight="1" x14ac:dyDescent="0.35">
      <c r="A12" s="40"/>
      <c r="B12" s="41"/>
      <c r="C12" s="78"/>
      <c r="D12" s="78"/>
      <c r="E12" s="78"/>
      <c r="F12" s="78"/>
      <c r="G12" s="78"/>
      <c r="H12" s="78"/>
      <c r="I12" s="78"/>
      <c r="J12" s="78"/>
      <c r="K12" s="78"/>
      <c r="L12" s="78"/>
      <c r="M12" s="78"/>
      <c r="N12" s="78"/>
      <c r="O12" s="78"/>
      <c r="P12" s="74"/>
      <c r="Q12" s="73"/>
      <c r="R12" s="73"/>
      <c r="S12" s="73"/>
      <c r="T12" s="73"/>
      <c r="U12" s="73"/>
      <c r="V12" s="73"/>
      <c r="W12" s="73"/>
      <c r="X12" s="73"/>
      <c r="Y12" s="73"/>
      <c r="Z12" s="73"/>
      <c r="AA12" s="73"/>
      <c r="AB12" s="73"/>
      <c r="AC12" s="73"/>
      <c r="AD12" s="73"/>
      <c r="AE12" s="73"/>
      <c r="AF12" s="73"/>
      <c r="AG12" s="73"/>
      <c r="AH12" s="73"/>
      <c r="AI12" s="73"/>
      <c r="AJ12" s="73"/>
      <c r="AK12" s="73"/>
      <c r="AL12" s="73"/>
      <c r="AM12" s="73"/>
      <c r="AN12" s="73"/>
      <c r="AO12" s="73"/>
      <c r="AP12" s="73"/>
      <c r="AQ12" s="73"/>
      <c r="AR12" s="73"/>
      <c r="AS12" s="73"/>
      <c r="AT12" s="73"/>
      <c r="AU12" s="73"/>
      <c r="AV12" s="73"/>
      <c r="AW12" s="73"/>
      <c r="AX12" s="73"/>
      <c r="AY12" s="73"/>
      <c r="AZ12" s="73"/>
      <c r="BA12" s="73"/>
      <c r="BB12" s="73"/>
      <c r="BC12" s="73"/>
      <c r="BD12" s="73"/>
      <c r="BE12" s="73"/>
      <c r="BF12" s="73"/>
      <c r="BG12" s="73"/>
      <c r="BH12" s="73"/>
      <c r="BI12" s="73"/>
      <c r="BJ12" s="73"/>
      <c r="BK12" s="73"/>
      <c r="BL12" s="73"/>
      <c r="BM12" s="73"/>
      <c r="BN12" s="73"/>
      <c r="BO12" s="73"/>
      <c r="BP12" s="73"/>
      <c r="BQ12" s="73"/>
      <c r="BR12" s="73"/>
      <c r="BS12" s="73"/>
      <c r="BT12" s="73"/>
      <c r="BU12" s="45"/>
      <c r="BV12" s="42"/>
    </row>
    <row r="13" spans="1:74" ht="12" customHeight="1" x14ac:dyDescent="0.35">
      <c r="A13" s="40"/>
      <c r="B13" s="41"/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6"/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  <c r="AB13" s="45"/>
      <c r="AC13" s="45"/>
      <c r="AD13" s="45"/>
      <c r="AE13" s="45"/>
      <c r="AF13" s="45"/>
      <c r="AG13" s="45"/>
      <c r="AH13" s="45"/>
      <c r="AI13" s="45"/>
      <c r="AJ13" s="45"/>
      <c r="AK13" s="45"/>
      <c r="AL13" s="45"/>
      <c r="AM13" s="45"/>
      <c r="AN13" s="45"/>
      <c r="AO13" s="45"/>
      <c r="AP13" s="45"/>
      <c r="AQ13" s="45"/>
      <c r="AR13" s="45"/>
      <c r="AS13" s="45"/>
      <c r="AT13" s="45"/>
      <c r="AU13" s="45"/>
      <c r="AV13" s="45"/>
      <c r="AW13" s="45"/>
      <c r="AX13" s="45"/>
      <c r="AY13" s="45"/>
      <c r="AZ13" s="45"/>
      <c r="BA13" s="45"/>
      <c r="BB13" s="45"/>
      <c r="BC13" s="45"/>
      <c r="BD13" s="45"/>
      <c r="BE13" s="45"/>
      <c r="BF13" s="45"/>
      <c r="BG13" s="45"/>
      <c r="BH13" s="45"/>
      <c r="BI13" s="45"/>
      <c r="BJ13" s="45"/>
      <c r="BK13" s="45"/>
      <c r="BL13" s="45"/>
      <c r="BM13" s="45"/>
      <c r="BN13" s="45"/>
      <c r="BO13" s="45"/>
      <c r="BP13" s="45"/>
      <c r="BQ13" s="45"/>
      <c r="BR13" s="45"/>
      <c r="BS13" s="45"/>
      <c r="BT13" s="45"/>
      <c r="BU13" s="45"/>
      <c r="BV13" s="42"/>
    </row>
    <row r="14" spans="1:74" ht="30.75" customHeight="1" x14ac:dyDescent="0.35">
      <c r="A14" s="40"/>
      <c r="B14" s="41"/>
      <c r="C14" s="43" t="s">
        <v>5</v>
      </c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 t="s">
        <v>3</v>
      </c>
      <c r="Q14" s="51" t="s">
        <v>74</v>
      </c>
      <c r="R14" s="51"/>
      <c r="S14" s="51"/>
      <c r="T14" s="51"/>
      <c r="U14" s="51"/>
      <c r="V14" s="51"/>
      <c r="W14" s="51"/>
      <c r="X14" s="51"/>
      <c r="Y14" s="51"/>
      <c r="Z14" s="51"/>
      <c r="AA14" s="51"/>
      <c r="AB14" s="51"/>
      <c r="AC14" s="51"/>
      <c r="AD14" s="51"/>
      <c r="AE14" s="51"/>
      <c r="AF14" s="51"/>
      <c r="AG14" s="51"/>
      <c r="AH14" s="51"/>
      <c r="AI14" s="51"/>
      <c r="AJ14" s="51"/>
      <c r="AK14" s="51"/>
      <c r="AL14" s="51"/>
      <c r="AM14" s="51"/>
      <c r="AN14" s="51"/>
      <c r="AO14" s="51"/>
      <c r="AP14" s="51"/>
      <c r="AQ14" s="51"/>
      <c r="AR14" s="51"/>
      <c r="AS14" s="51"/>
      <c r="AT14" s="51"/>
      <c r="AU14" s="51"/>
      <c r="AV14" s="51"/>
      <c r="AW14" s="51"/>
      <c r="AX14" s="51"/>
      <c r="AY14" s="51"/>
      <c r="AZ14" s="51"/>
      <c r="BA14" s="51"/>
      <c r="BB14" s="51"/>
      <c r="BC14" s="51"/>
      <c r="BD14" s="51"/>
      <c r="BE14" s="51"/>
      <c r="BF14" s="51"/>
      <c r="BG14" s="51"/>
      <c r="BH14" s="51"/>
      <c r="BI14" s="51"/>
      <c r="BJ14" s="51"/>
      <c r="BK14" s="51"/>
      <c r="BL14" s="51"/>
      <c r="BM14" s="51"/>
      <c r="BN14" s="51"/>
      <c r="BO14" s="51"/>
      <c r="BP14" s="51"/>
      <c r="BQ14" s="51"/>
      <c r="BR14" s="51"/>
      <c r="BS14" s="51"/>
      <c r="BT14" s="51"/>
      <c r="BU14" s="46"/>
      <c r="BV14" s="42"/>
    </row>
    <row r="15" spans="1:74" ht="30.75" customHeight="1" x14ac:dyDescent="0.35">
      <c r="A15" s="40"/>
      <c r="B15" s="41"/>
      <c r="C15" s="74"/>
      <c r="D15" s="74"/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4"/>
      <c r="AB15" s="74"/>
      <c r="AC15" s="74"/>
      <c r="AD15" s="74"/>
      <c r="AE15" s="74"/>
      <c r="AF15" s="74"/>
      <c r="AG15" s="74"/>
      <c r="AH15" s="74"/>
      <c r="AI15" s="74"/>
      <c r="AJ15" s="74"/>
      <c r="AK15" s="74"/>
      <c r="AL15" s="74"/>
      <c r="AM15" s="74"/>
      <c r="AN15" s="74"/>
      <c r="AO15" s="74"/>
      <c r="AP15" s="74"/>
      <c r="AQ15" s="74"/>
      <c r="AR15" s="74"/>
      <c r="AS15" s="74"/>
      <c r="AT15" s="74"/>
      <c r="AU15" s="74"/>
      <c r="AV15" s="74"/>
      <c r="AW15" s="74"/>
      <c r="AX15" s="74"/>
      <c r="AY15" s="74"/>
      <c r="AZ15" s="74"/>
      <c r="BA15" s="74"/>
      <c r="BB15" s="74"/>
      <c r="BC15" s="74"/>
      <c r="BD15" s="74"/>
      <c r="BE15" s="74"/>
      <c r="BF15" s="74"/>
      <c r="BG15" s="74"/>
      <c r="BH15" s="74"/>
      <c r="BI15" s="74"/>
      <c r="BJ15" s="74"/>
      <c r="BK15" s="74"/>
      <c r="BL15" s="74"/>
      <c r="BM15" s="74"/>
      <c r="BN15" s="74"/>
      <c r="BO15" s="74"/>
      <c r="BP15" s="74"/>
      <c r="BQ15" s="74"/>
      <c r="BR15" s="74"/>
      <c r="BS15" s="74"/>
      <c r="BT15" s="74"/>
      <c r="BU15" s="46"/>
      <c r="BV15" s="42"/>
    </row>
    <row r="16" spans="1:74" ht="30.75" customHeight="1" x14ac:dyDescent="0.35">
      <c r="A16" s="40"/>
      <c r="B16" s="41"/>
      <c r="C16" s="74"/>
      <c r="D16" s="74"/>
      <c r="E16" s="74"/>
      <c r="F16" s="74"/>
      <c r="G16" s="74"/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  <c r="AA16" s="74"/>
      <c r="AB16" s="74"/>
      <c r="AC16" s="74"/>
      <c r="AD16" s="74"/>
      <c r="AE16" s="74"/>
      <c r="AF16" s="74"/>
      <c r="AG16" s="74"/>
      <c r="AH16" s="74"/>
      <c r="AI16" s="74"/>
      <c r="AJ16" s="74"/>
      <c r="AK16" s="74"/>
      <c r="AL16" s="74"/>
      <c r="AM16" s="74"/>
      <c r="AN16" s="74"/>
      <c r="AO16" s="74"/>
      <c r="AP16" s="74"/>
      <c r="AQ16" s="74"/>
      <c r="AR16" s="74"/>
      <c r="AS16" s="74"/>
      <c r="AT16" s="74"/>
      <c r="AU16" s="74"/>
      <c r="AV16" s="74"/>
      <c r="AW16" s="74"/>
      <c r="AX16" s="74"/>
      <c r="AY16" s="74"/>
      <c r="AZ16" s="74"/>
      <c r="BA16" s="74"/>
      <c r="BB16" s="74"/>
      <c r="BC16" s="74"/>
      <c r="BD16" s="74"/>
      <c r="BE16" s="74"/>
      <c r="BF16" s="74"/>
      <c r="BG16" s="74"/>
      <c r="BH16" s="74"/>
      <c r="BI16" s="74"/>
      <c r="BJ16" s="74"/>
      <c r="BK16" s="74"/>
      <c r="BL16" s="74"/>
      <c r="BM16" s="74"/>
      <c r="BN16" s="74"/>
      <c r="BO16" s="74"/>
      <c r="BP16" s="74"/>
      <c r="BQ16" s="74"/>
      <c r="BR16" s="74"/>
      <c r="BS16" s="74"/>
      <c r="BT16" s="74"/>
      <c r="BU16" s="46"/>
      <c r="BV16" s="42"/>
    </row>
    <row r="17" spans="1:74" ht="30.75" customHeight="1" x14ac:dyDescent="0.35">
      <c r="A17" s="40"/>
      <c r="B17" s="41"/>
      <c r="C17" s="74"/>
      <c r="D17" s="74"/>
      <c r="E17" s="74"/>
      <c r="F17" s="74"/>
      <c r="G17" s="74"/>
      <c r="H17" s="74"/>
      <c r="I17" s="74"/>
      <c r="J17" s="74"/>
      <c r="K17" s="74"/>
      <c r="L17" s="74"/>
      <c r="M17" s="74"/>
      <c r="N17" s="74"/>
      <c r="O17" s="74"/>
      <c r="P17" s="74"/>
      <c r="Q17" s="74"/>
      <c r="R17" s="74"/>
      <c r="S17" s="74"/>
      <c r="T17" s="74"/>
      <c r="U17" s="74"/>
      <c r="V17" s="74"/>
      <c r="W17" s="74"/>
      <c r="X17" s="74"/>
      <c r="Y17" s="74"/>
      <c r="Z17" s="74"/>
      <c r="AA17" s="74"/>
      <c r="AB17" s="74"/>
      <c r="AC17" s="74"/>
      <c r="AD17" s="74"/>
      <c r="AE17" s="74"/>
      <c r="AF17" s="74"/>
      <c r="AG17" s="74"/>
      <c r="AH17" s="74"/>
      <c r="AI17" s="74"/>
      <c r="AJ17" s="74"/>
      <c r="AK17" s="74"/>
      <c r="AL17" s="74"/>
      <c r="AM17" s="74"/>
      <c r="AN17" s="74"/>
      <c r="AO17" s="74"/>
      <c r="AP17" s="74"/>
      <c r="AQ17" s="74"/>
      <c r="AR17" s="74"/>
      <c r="AS17" s="74"/>
      <c r="AT17" s="74"/>
      <c r="AU17" s="74"/>
      <c r="AV17" s="74"/>
      <c r="AW17" s="74"/>
      <c r="AX17" s="74"/>
      <c r="AY17" s="74"/>
      <c r="AZ17" s="74"/>
      <c r="BA17" s="74"/>
      <c r="BB17" s="74"/>
      <c r="BC17" s="74"/>
      <c r="BD17" s="74"/>
      <c r="BE17" s="74"/>
      <c r="BF17" s="74"/>
      <c r="BG17" s="74"/>
      <c r="BH17" s="74"/>
      <c r="BI17" s="74"/>
      <c r="BJ17" s="74"/>
      <c r="BK17" s="74"/>
      <c r="BL17" s="74"/>
      <c r="BM17" s="74"/>
      <c r="BN17" s="74"/>
      <c r="BO17" s="74"/>
      <c r="BP17" s="74"/>
      <c r="BQ17" s="74"/>
      <c r="BR17" s="74"/>
      <c r="BS17" s="74"/>
      <c r="BT17" s="74"/>
      <c r="BU17" s="46"/>
      <c r="BV17" s="42"/>
    </row>
    <row r="18" spans="1:74" ht="12.75" customHeight="1" x14ac:dyDescent="0.35">
      <c r="A18" s="40"/>
      <c r="B18" s="41"/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4"/>
      <c r="AU18" s="44"/>
      <c r="AV18" s="44"/>
      <c r="AW18" s="44"/>
      <c r="AX18" s="44"/>
      <c r="AY18" s="44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4"/>
      <c r="BK18" s="44"/>
      <c r="BL18" s="44"/>
      <c r="BM18" s="44"/>
      <c r="BN18" s="44"/>
      <c r="BO18" s="44"/>
      <c r="BP18" s="44"/>
      <c r="BQ18" s="44"/>
      <c r="BR18" s="44"/>
      <c r="BS18" s="44"/>
      <c r="BT18" s="44"/>
      <c r="BU18" s="44"/>
      <c r="BV18" s="42"/>
    </row>
    <row r="19" spans="1:74" ht="12.75" customHeight="1" x14ac:dyDescent="0.35">
      <c r="A19" s="40"/>
      <c r="B19" s="41"/>
      <c r="C19" s="77" t="s">
        <v>69</v>
      </c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7"/>
      <c r="AC19" s="77"/>
      <c r="AD19" s="77"/>
      <c r="AE19" s="77"/>
      <c r="AF19" s="77"/>
      <c r="AG19" s="77"/>
      <c r="AH19" s="77"/>
      <c r="AI19" s="77"/>
      <c r="AJ19" s="77"/>
      <c r="AK19" s="77"/>
      <c r="AL19" s="77"/>
      <c r="AM19" s="77"/>
      <c r="AN19" s="77"/>
      <c r="AO19" s="77"/>
      <c r="AP19" s="77"/>
      <c r="AQ19" s="77"/>
      <c r="AR19" s="77"/>
      <c r="AS19" s="77"/>
      <c r="AT19" s="44"/>
      <c r="AU19" s="44"/>
      <c r="AV19" s="44"/>
      <c r="AW19" s="44"/>
      <c r="AX19" s="44"/>
      <c r="AY19" s="44"/>
      <c r="AZ19" s="44"/>
      <c r="BA19" s="44"/>
      <c r="BB19" s="44"/>
      <c r="BC19" s="44"/>
      <c r="BD19" s="44"/>
      <c r="BE19" s="44"/>
      <c r="BF19" s="44"/>
      <c r="BG19" s="44"/>
      <c r="BH19" s="44"/>
      <c r="BI19" s="44"/>
      <c r="BJ19" s="44"/>
      <c r="BK19" s="44"/>
      <c r="BL19" s="44"/>
      <c r="BM19" s="44"/>
      <c r="BN19" s="44"/>
      <c r="BO19" s="44"/>
      <c r="BP19" s="44"/>
      <c r="BQ19" s="44"/>
      <c r="BR19" s="44"/>
      <c r="BS19" s="44"/>
      <c r="BT19" s="44"/>
      <c r="BU19" s="44"/>
      <c r="BV19" s="42"/>
    </row>
    <row r="20" spans="1:74" ht="30.75" customHeight="1" x14ac:dyDescent="0.35">
      <c r="A20" s="40"/>
      <c r="B20" s="41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7"/>
      <c r="AC20" s="77"/>
      <c r="AD20" s="77"/>
      <c r="AE20" s="77"/>
      <c r="AF20" s="77"/>
      <c r="AG20" s="77"/>
      <c r="AH20" s="77"/>
      <c r="AI20" s="77"/>
      <c r="AJ20" s="77"/>
      <c r="AK20" s="77"/>
      <c r="AL20" s="77"/>
      <c r="AM20" s="77"/>
      <c r="AN20" s="77"/>
      <c r="AO20" s="77"/>
      <c r="AP20" s="77"/>
      <c r="AQ20" s="77"/>
      <c r="AR20" s="77"/>
      <c r="AS20" s="77"/>
      <c r="AT20" s="41"/>
      <c r="AU20" s="41"/>
      <c r="AV20" s="41"/>
      <c r="AW20" s="72" t="s">
        <v>75</v>
      </c>
      <c r="AX20" s="72"/>
      <c r="AY20" s="72"/>
      <c r="AZ20" s="72"/>
      <c r="BA20" s="72"/>
      <c r="BB20" s="72"/>
      <c r="BC20" s="72"/>
      <c r="BD20" s="72"/>
      <c r="BE20" s="72"/>
      <c r="BF20" s="72"/>
      <c r="BG20" s="72"/>
      <c r="BH20" s="72"/>
      <c r="BI20" s="72"/>
      <c r="BJ20" s="72"/>
      <c r="BK20" s="72"/>
      <c r="BL20" s="72"/>
      <c r="BM20" s="72"/>
      <c r="BN20" s="72"/>
      <c r="BO20" s="72"/>
      <c r="BP20" s="72"/>
      <c r="BQ20" s="41"/>
      <c r="BR20" s="41"/>
      <c r="BS20" s="41"/>
      <c r="BT20" s="41"/>
      <c r="BU20" s="41"/>
      <c r="BV20" s="42"/>
    </row>
    <row r="21" spans="1:74" ht="31.5" customHeight="1" thickBot="1" x14ac:dyDescent="0.4">
      <c r="A21" s="40"/>
      <c r="B21" s="41"/>
      <c r="C21" s="43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  <c r="AA21" s="41"/>
      <c r="AB21" s="41"/>
      <c r="AC21" s="41"/>
      <c r="AD21" s="41"/>
      <c r="AE21" s="41"/>
      <c r="AF21" s="41"/>
      <c r="AG21" s="41"/>
      <c r="AH21" s="41"/>
      <c r="AI21" s="41"/>
      <c r="AJ21" s="41"/>
      <c r="AK21" s="41"/>
      <c r="AL21" s="41"/>
      <c r="AM21" s="41"/>
      <c r="AN21" s="41"/>
      <c r="AO21" s="41"/>
      <c r="AP21" s="41"/>
      <c r="AQ21" s="41"/>
      <c r="AR21" s="41"/>
      <c r="AS21" s="41"/>
      <c r="AT21" s="41"/>
      <c r="AU21" s="41"/>
      <c r="AV21" s="41"/>
      <c r="AW21" s="41"/>
      <c r="AX21" s="41"/>
      <c r="AY21" s="41"/>
      <c r="AZ21" s="41"/>
      <c r="BA21" s="41"/>
      <c r="BB21" s="41"/>
      <c r="BC21" s="41"/>
      <c r="BD21" s="41"/>
      <c r="BE21" s="41"/>
      <c r="BF21" s="41"/>
      <c r="BG21" s="41"/>
      <c r="BH21" s="41"/>
      <c r="BI21" s="41"/>
      <c r="BJ21" s="41"/>
      <c r="BK21" s="41"/>
      <c r="BL21" s="41"/>
      <c r="BM21" s="41"/>
      <c r="BN21" s="41"/>
      <c r="BO21" s="41"/>
      <c r="BP21" s="41"/>
      <c r="BQ21" s="41"/>
      <c r="BR21" s="41"/>
      <c r="BS21" s="41"/>
      <c r="BT21" s="41"/>
      <c r="BU21" s="41"/>
      <c r="BV21" s="42"/>
    </row>
    <row r="22" spans="1:74" ht="67.5" customHeight="1" thickBot="1" x14ac:dyDescent="0.4">
      <c r="A22" s="40"/>
      <c r="B22" s="41"/>
      <c r="C22" s="75" t="s">
        <v>6</v>
      </c>
      <c r="D22" s="75"/>
      <c r="E22" s="75"/>
      <c r="F22" s="75"/>
      <c r="G22" s="76">
        <v>393017100</v>
      </c>
      <c r="H22" s="76"/>
      <c r="I22" s="76"/>
      <c r="J22" s="76"/>
      <c r="K22" s="76"/>
      <c r="L22" s="76"/>
      <c r="M22" s="76"/>
      <c r="N22" s="76"/>
      <c r="O22" s="76"/>
      <c r="P22" s="76"/>
      <c r="Q22" s="76"/>
      <c r="R22" s="76"/>
      <c r="S22" s="76"/>
      <c r="T22" s="76"/>
      <c r="U22" s="76"/>
      <c r="V22" s="76"/>
      <c r="W22" s="41"/>
      <c r="X22" s="41"/>
      <c r="Y22" s="41"/>
      <c r="Z22" s="41"/>
      <c r="AA22" s="41"/>
      <c r="AB22" s="41"/>
      <c r="AC22" s="41"/>
      <c r="AD22" s="41"/>
      <c r="AE22" s="41"/>
      <c r="AF22" s="41"/>
      <c r="AG22" s="41"/>
      <c r="AH22" s="41"/>
      <c r="AI22" s="41"/>
      <c r="AJ22" s="41"/>
      <c r="AK22" s="41"/>
      <c r="AL22" s="41"/>
      <c r="AM22" s="41"/>
      <c r="AN22" s="41"/>
      <c r="AO22" s="41"/>
      <c r="AP22" s="41"/>
      <c r="AQ22" s="41"/>
      <c r="AR22" s="41"/>
      <c r="AS22" s="41"/>
      <c r="AT22" s="41"/>
      <c r="AU22" s="41"/>
      <c r="AV22" s="41"/>
      <c r="AW22" s="41"/>
      <c r="AX22" s="41"/>
      <c r="AY22" s="41"/>
      <c r="AZ22" s="41"/>
      <c r="BA22" s="41"/>
      <c r="BB22" s="41"/>
      <c r="BC22" s="41"/>
      <c r="BD22" s="41"/>
      <c r="BE22" s="41"/>
      <c r="BF22" s="41"/>
      <c r="BG22" s="41"/>
      <c r="BH22" s="41"/>
      <c r="BI22" s="41"/>
      <c r="BJ22" s="41"/>
      <c r="BK22" s="41"/>
      <c r="BL22" s="41"/>
      <c r="BM22" s="41"/>
      <c r="BN22" s="41"/>
      <c r="BO22" s="41"/>
      <c r="BP22" s="41"/>
      <c r="BQ22" s="41"/>
      <c r="BR22" s="41"/>
      <c r="BS22" s="41"/>
      <c r="BT22" s="41"/>
      <c r="BU22" s="41"/>
      <c r="BV22" s="42"/>
    </row>
    <row r="23" spans="1:74" ht="30.75" customHeight="1" x14ac:dyDescent="0.35">
      <c r="A23" s="40"/>
      <c r="B23" s="41"/>
      <c r="C23" s="41"/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41"/>
      <c r="AB23" s="41"/>
      <c r="AC23" s="41"/>
      <c r="AD23" s="41"/>
      <c r="AE23" s="41"/>
      <c r="AF23" s="41"/>
      <c r="AG23" s="41"/>
      <c r="AH23" s="41"/>
      <c r="AI23" s="41"/>
      <c r="AJ23" s="41"/>
      <c r="AK23" s="41"/>
      <c r="AL23" s="41"/>
      <c r="AM23" s="41"/>
      <c r="AN23" s="41"/>
      <c r="AO23" s="41"/>
      <c r="AP23" s="41"/>
      <c r="AQ23" s="41"/>
      <c r="AR23" s="41"/>
      <c r="AS23" s="41"/>
      <c r="AT23" s="41"/>
      <c r="AU23" s="41"/>
      <c r="AV23" s="41"/>
      <c r="AW23" s="41"/>
      <c r="BP23" s="41"/>
      <c r="BQ23" s="41"/>
      <c r="BR23" s="41"/>
      <c r="BS23" s="41"/>
      <c r="BT23" s="41"/>
      <c r="BU23" s="41"/>
      <c r="BV23" s="42"/>
    </row>
    <row r="24" spans="1:74" ht="30.75" customHeight="1" x14ac:dyDescent="0.35">
      <c r="A24" s="40"/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  <c r="AA24" s="41"/>
      <c r="AB24" s="41"/>
      <c r="AC24" s="41"/>
      <c r="AD24" s="41"/>
      <c r="AE24" s="41"/>
      <c r="AF24" s="41"/>
      <c r="AG24" s="41"/>
      <c r="AH24" s="41"/>
      <c r="AI24" s="41"/>
      <c r="AJ24" s="41"/>
      <c r="AK24" s="41"/>
      <c r="AL24" s="41"/>
      <c r="AM24" s="41"/>
      <c r="AN24" s="41"/>
      <c r="AO24" s="41"/>
      <c r="AP24" s="41"/>
      <c r="AQ24" s="41"/>
      <c r="AR24" s="41"/>
      <c r="AS24" s="41"/>
      <c r="AT24" s="41"/>
      <c r="AU24" s="41"/>
      <c r="AV24" s="41"/>
      <c r="AW24" s="41"/>
      <c r="BP24" s="41"/>
      <c r="BQ24" s="41"/>
      <c r="BR24" s="41"/>
      <c r="BS24" s="41"/>
      <c r="BT24" s="41"/>
      <c r="BU24" s="41"/>
      <c r="BV24" s="42"/>
    </row>
    <row r="25" spans="1:74" ht="30.75" customHeight="1" x14ac:dyDescent="0.35">
      <c r="A25" s="40"/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  <c r="AA25" s="41"/>
      <c r="AB25" s="41"/>
      <c r="AC25" s="41"/>
      <c r="AD25" s="41"/>
      <c r="AE25" s="41"/>
      <c r="AF25" s="41"/>
      <c r="AG25" s="41"/>
      <c r="AH25" s="41"/>
      <c r="AI25" s="41"/>
      <c r="AJ25" s="41"/>
      <c r="AK25" s="41"/>
      <c r="AL25" s="41"/>
      <c r="AM25" s="41"/>
      <c r="AN25" s="41"/>
      <c r="AO25" s="41"/>
      <c r="AP25" s="41"/>
      <c r="AQ25" s="41"/>
      <c r="AR25" s="41"/>
      <c r="AS25" s="41"/>
      <c r="AT25" s="41"/>
      <c r="AU25" s="41"/>
      <c r="AV25" s="41"/>
      <c r="AW25" s="41"/>
      <c r="AX25" s="47" t="s">
        <v>7</v>
      </c>
      <c r="AY25" s="72" t="s">
        <v>46</v>
      </c>
      <c r="AZ25" s="72"/>
      <c r="BA25" s="72"/>
      <c r="BB25" s="72"/>
      <c r="BC25" s="72"/>
      <c r="BD25" s="72"/>
      <c r="BE25" s="72"/>
      <c r="BF25" s="72"/>
      <c r="BG25" s="72"/>
      <c r="BH25" s="72"/>
      <c r="BI25" s="72"/>
      <c r="BJ25" s="72"/>
      <c r="BK25" s="72"/>
      <c r="BL25" s="72"/>
      <c r="BM25" s="72"/>
      <c r="BN25" s="72"/>
      <c r="BO25" s="47" t="s">
        <v>8</v>
      </c>
      <c r="BP25" s="41"/>
      <c r="BQ25" s="41"/>
      <c r="BR25" s="41"/>
      <c r="BS25" s="41"/>
      <c r="BT25" s="41"/>
      <c r="BU25" s="41"/>
      <c r="BV25" s="42"/>
    </row>
    <row r="26" spans="1:74" ht="30.75" customHeight="1" x14ac:dyDescent="0.35">
      <c r="A26" s="40"/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  <c r="AA26" s="41"/>
      <c r="AB26" s="41"/>
      <c r="AC26" s="41"/>
      <c r="AD26" s="41"/>
      <c r="AE26" s="41"/>
      <c r="AF26" s="41"/>
      <c r="AG26" s="41"/>
      <c r="AH26" s="41"/>
      <c r="AI26" s="41"/>
      <c r="AJ26" s="41"/>
      <c r="AK26" s="41"/>
      <c r="AL26" s="41"/>
      <c r="AM26" s="41"/>
      <c r="AN26" s="41"/>
      <c r="AO26" s="41"/>
      <c r="AP26" s="41"/>
      <c r="AQ26" s="41"/>
      <c r="AR26" s="41"/>
      <c r="AS26" s="41"/>
      <c r="AT26" s="41"/>
      <c r="AU26" s="41"/>
      <c r="AV26" s="41"/>
      <c r="AW26" s="41"/>
      <c r="AX26" s="70" t="s">
        <v>70</v>
      </c>
      <c r="AY26" s="70"/>
      <c r="AZ26" s="70"/>
      <c r="BA26" s="70"/>
      <c r="BB26" s="70"/>
      <c r="BC26" s="70"/>
      <c r="BD26" s="70"/>
      <c r="BE26" s="70"/>
      <c r="BF26" s="70"/>
      <c r="BG26" s="70"/>
      <c r="BH26" s="70"/>
      <c r="BI26" s="70"/>
      <c r="BJ26" s="70"/>
      <c r="BK26" s="70"/>
      <c r="BL26" s="70"/>
      <c r="BM26" s="70"/>
      <c r="BN26" s="70"/>
      <c r="BO26" s="70"/>
      <c r="BP26" s="41"/>
      <c r="BQ26" s="41"/>
      <c r="BR26" s="41"/>
      <c r="BS26" s="41"/>
      <c r="BT26" s="41"/>
      <c r="BU26" s="41"/>
      <c r="BV26" s="42"/>
    </row>
    <row r="27" spans="1:74" ht="32.25" customHeight="1" thickBot="1" x14ac:dyDescent="0.4">
      <c r="A27" s="48"/>
      <c r="B27" s="49"/>
      <c r="C27" s="49"/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  <c r="AA27" s="49"/>
      <c r="AB27" s="49"/>
      <c r="AC27" s="49"/>
      <c r="AD27" s="49"/>
      <c r="AE27" s="49"/>
      <c r="AF27" s="49"/>
      <c r="AG27" s="49"/>
      <c r="AH27" s="49"/>
      <c r="AI27" s="49"/>
      <c r="AJ27" s="49"/>
      <c r="AK27" s="49"/>
      <c r="AL27" s="49"/>
      <c r="AM27" s="49"/>
      <c r="AN27" s="49"/>
      <c r="AO27" s="49"/>
      <c r="AP27" s="49"/>
      <c r="AQ27" s="49"/>
      <c r="AR27" s="49"/>
      <c r="AS27" s="49"/>
      <c r="AT27" s="49"/>
      <c r="AU27" s="49"/>
      <c r="AV27" s="49"/>
      <c r="AW27" s="49"/>
      <c r="AX27" s="49"/>
      <c r="AY27" s="49"/>
      <c r="AZ27" s="49"/>
      <c r="BA27" s="49"/>
      <c r="BB27" s="49"/>
      <c r="BC27" s="49"/>
      <c r="BD27" s="49"/>
      <c r="BE27" s="49"/>
      <c r="BF27" s="49"/>
      <c r="BG27" s="49"/>
      <c r="BH27" s="49"/>
      <c r="BI27" s="49"/>
      <c r="BJ27" s="49"/>
      <c r="BK27" s="49"/>
      <c r="BL27" s="49"/>
      <c r="BM27" s="49"/>
      <c r="BN27" s="49"/>
      <c r="BO27" s="49"/>
      <c r="BP27" s="49"/>
      <c r="BQ27" s="49"/>
      <c r="BR27" s="49"/>
      <c r="BS27" s="49"/>
      <c r="BT27" s="49"/>
      <c r="BU27" s="49"/>
      <c r="BV27" s="50"/>
    </row>
    <row r="28" spans="1:74" ht="30.75" customHeight="1" thickTop="1" x14ac:dyDescent="0.4">
      <c r="BN28" s="71" t="s">
        <v>45</v>
      </c>
      <c r="BO28" s="71"/>
      <c r="BP28" s="71"/>
      <c r="BQ28" s="71"/>
      <c r="BR28" s="71"/>
      <c r="BS28" s="71"/>
      <c r="BT28" s="71"/>
      <c r="BU28" s="71"/>
      <c r="BV28" s="71"/>
    </row>
  </sheetData>
  <mergeCells count="21">
    <mergeCell ref="Q14:BT14"/>
    <mergeCell ref="AX26:BO26"/>
    <mergeCell ref="BN28:BV28"/>
    <mergeCell ref="AY25:BN25"/>
    <mergeCell ref="Q11:BT12"/>
    <mergeCell ref="C15:BT15"/>
    <mergeCell ref="C16:BT16"/>
    <mergeCell ref="C17:BT17"/>
    <mergeCell ref="C22:F22"/>
    <mergeCell ref="G22:V22"/>
    <mergeCell ref="AW20:BP20"/>
    <mergeCell ref="C19:AS20"/>
    <mergeCell ref="C11:O12"/>
    <mergeCell ref="P11:P12"/>
    <mergeCell ref="Q9:BT9"/>
    <mergeCell ref="A1:Y5"/>
    <mergeCell ref="Z1:BV2"/>
    <mergeCell ref="Z3:BV5"/>
    <mergeCell ref="C7:E7"/>
    <mergeCell ref="F7:O7"/>
    <mergeCell ref="Q7:BT8"/>
  </mergeCells>
  <pageMargins left="0.31496062992125984" right="0.15748031496062992" top="0.35433070866141736" bottom="0.74803149606299213" header="0.31496062992125984" footer="0.31496062992125984"/>
  <pageSetup paperSize="9" scale="45" fitToHeight="0" orientation="portrait" horizontalDpi="120" verticalDpi="18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44"/>
  <sheetViews>
    <sheetView showGridLines="0" showRowColHeaders="0" zoomScale="85" zoomScaleNormal="85" workbookViewId="0">
      <selection activeCell="P17" sqref="P17"/>
    </sheetView>
  </sheetViews>
  <sheetFormatPr defaultColWidth="9.1796875" defaultRowHeight="14.5" zeroHeight="1" x14ac:dyDescent="0.35"/>
  <cols>
    <col min="1" max="1" width="9.1796875" style="1"/>
    <col min="2" max="2" width="24" style="1" bestFit="1" customWidth="1"/>
    <col min="3" max="6" width="24.1796875" style="2" customWidth="1"/>
    <col min="7" max="16384" width="9.1796875" style="1"/>
  </cols>
  <sheetData>
    <row r="1" spans="2:6" ht="27" x14ac:dyDescent="0.6">
      <c r="B1" s="79" t="s">
        <v>9</v>
      </c>
      <c r="C1" s="79"/>
      <c r="D1" s="79"/>
      <c r="E1" s="79"/>
      <c r="F1" s="79"/>
    </row>
    <row r="2" spans="2:6" x14ac:dyDescent="0.35"/>
    <row r="3" spans="2:6" ht="19.5" x14ac:dyDescent="0.35">
      <c r="B3" s="3" t="s">
        <v>10</v>
      </c>
      <c r="C3" s="4">
        <f>nilai</f>
        <v>393017100</v>
      </c>
      <c r="D3" s="5"/>
      <c r="E3" s="5"/>
      <c r="F3" s="5"/>
    </row>
    <row r="4" spans="2:6" x14ac:dyDescent="0.35">
      <c r="B4" s="80" t="s">
        <v>11</v>
      </c>
      <c r="C4" s="81" t="str">
        <f>TRIM(C17&amp;" "&amp;D17&amp;" "&amp;E17&amp;" "&amp;F17)</f>
        <v>tiga ratus sembilan puluh tiga juta tujuh belas ribu seratus</v>
      </c>
      <c r="D4" s="81"/>
      <c r="E4" s="81"/>
      <c r="F4" s="81"/>
    </row>
    <row r="5" spans="2:6" x14ac:dyDescent="0.35">
      <c r="B5" s="80"/>
      <c r="C5" s="81"/>
      <c r="D5" s="81"/>
      <c r="E5" s="81"/>
      <c r="F5" s="81"/>
    </row>
    <row r="6" spans="2:6" x14ac:dyDescent="0.35">
      <c r="B6" s="80"/>
      <c r="C6" s="81"/>
      <c r="D6" s="81"/>
      <c r="E6" s="81"/>
      <c r="F6" s="81"/>
    </row>
    <row r="7" spans="2:6" x14ac:dyDescent="0.35"/>
    <row r="8" spans="2:6" ht="15" thickBot="1" x14ac:dyDescent="0.4"/>
    <row r="9" spans="2:6" ht="32" thickTop="1" thickBot="1" x14ac:dyDescent="0.4">
      <c r="B9" s="6" t="s">
        <v>12</v>
      </c>
      <c r="C9" s="7" t="s">
        <v>13</v>
      </c>
      <c r="D9" s="7" t="s">
        <v>14</v>
      </c>
      <c r="E9" s="8" t="s">
        <v>15</v>
      </c>
      <c r="F9" s="9" t="s">
        <v>16</v>
      </c>
    </row>
    <row r="10" spans="2:6" ht="15.5" thickTop="1" thickBot="1" x14ac:dyDescent="0.4">
      <c r="B10" s="10" t="s">
        <v>17</v>
      </c>
      <c r="C10" s="11">
        <v>1</v>
      </c>
      <c r="D10" s="11">
        <v>4</v>
      </c>
      <c r="E10" s="11">
        <v>7</v>
      </c>
      <c r="F10" s="12">
        <v>10</v>
      </c>
    </row>
    <row r="11" spans="2:6" ht="15.5" thickTop="1" thickBot="1" x14ac:dyDescent="0.4">
      <c r="B11" s="13" t="s">
        <v>18</v>
      </c>
      <c r="C11" s="14">
        <v>3</v>
      </c>
      <c r="D11" s="14">
        <v>3</v>
      </c>
      <c r="E11" s="14">
        <v>3</v>
      </c>
      <c r="F11" s="15">
        <v>3</v>
      </c>
    </row>
    <row r="12" spans="2:6" ht="15.5" thickTop="1" thickBot="1" x14ac:dyDescent="0.4">
      <c r="B12" s="16" t="s">
        <v>19</v>
      </c>
      <c r="C12" s="17">
        <f>--MID(TEXT(TRUNC(N($C$3),0),REPT(0,12)),C10,C11)</f>
        <v>0</v>
      </c>
      <c r="D12" s="17">
        <f t="shared" ref="D12:E12" si="0">--MID(TEXT(TRUNC(N($C$3),0),REPT(0,12)),D10,D11)</f>
        <v>393</v>
      </c>
      <c r="E12" s="17">
        <f t="shared" si="0"/>
        <v>17</v>
      </c>
      <c r="F12" s="18">
        <f>--MID(TEXT(TRUNC(N($C$3),0),REPT(0,12)),F10,F11)</f>
        <v>100</v>
      </c>
    </row>
    <row r="13" spans="2:6" ht="15" thickTop="1" x14ac:dyDescent="0.35">
      <c r="B13" s="19" t="s">
        <v>20</v>
      </c>
      <c r="C13" s="20">
        <f>N("Ambil angka Milyar")+--MID(TEXT(N(C$12),REPT(0,3)),1,1)</f>
        <v>0</v>
      </c>
      <c r="D13" s="20">
        <f>--MID(TEXT(N(D$12),REPT(0,3)),1,1)</f>
        <v>3</v>
      </c>
      <c r="E13" s="20">
        <f>--MID(TEXT(N(E$12),REPT(0,3)),1,1)</f>
        <v>0</v>
      </c>
      <c r="F13" s="20">
        <f>--MID(TEXT(N(F$12),REPT(0,3)),1,1)</f>
        <v>1</v>
      </c>
    </row>
    <row r="14" spans="2:6" x14ac:dyDescent="0.35">
      <c r="B14" s="21" t="s">
        <v>21</v>
      </c>
      <c r="C14" s="22">
        <f>N("Bila digit pertama angka puluhan &gt; 1 MAKA hasilkan 1 digit angka depannya BILA TIDAK hasilkan Nol")+IF(--MID(TEXT(N(C$12),REPT(0,3)),2,1)&gt;1,--MID(TEXT(N(C$12),REPT(0,3)),2,1),0)</f>
        <v>0</v>
      </c>
      <c r="D14" s="22">
        <f>N("Bila digit pertama angka puluhan &gt; 1 MAKA hasilkan 1 digit angka depannya BILA TIDAK hasilkan Nol")+IF(--MID(TEXT(N(D$12),REPT(0,3)),2,1)&gt;1,--MID(TEXT(N(D$12),REPT(0,3)),2,1),0)</f>
        <v>9</v>
      </c>
      <c r="E14" s="22">
        <f>N("Bila digit pertama angka puluhan &gt; 1 MAKA hasilkan 1 digit angka depannya BILA TIDAK hasilkan Nol")+IF(--MID(TEXT(N(E$12),REPT(0,3)),2,1)&gt;1,--MID(TEXT(N(E$12),REPT(0,3)),2,1),0)</f>
        <v>0</v>
      </c>
      <c r="F14" s="22">
        <f>N("Bila digit pertama angka puluhan &gt; 1 MAKA hasilkan 1 digit angka depannya BILA TIDAK hasilkan Nol")+IF(--MID(TEXT(N(F$12),REPT(0,3)),2,1)&gt;1,--MID(TEXT(N(F$12),REPT(0,3)),2,1),0)</f>
        <v>0</v>
      </c>
    </row>
    <row r="15" spans="2:6" x14ac:dyDescent="0.35">
      <c r="B15" s="21" t="s">
        <v>22</v>
      </c>
      <c r="C15" s="22">
        <f>N("Bila 2 digit terakhir &gt; 19 MAKA hasilkan 1 digit terakhir BILA TIDAK hasilkan 2 digit terakhir")+IF(--MID(TEXT(N(C$12),REPT(0,3)),2,2)&gt;19,--MID(TEXT(N(C$12),REPT(0,3)),3,1),--MID(TEXT(N(C$12),REPT(0,3)),2,2))</f>
        <v>0</v>
      </c>
      <c r="D15" s="22">
        <f>N("Bila 2 digit terakhir &gt; 19 MAKA hasilkan 1 digit terakhir BILA TIDAK hasilkan 2 digit terakhir")+IF(--MID(TEXT(N(D$12),REPT(0,3)),2,2)&gt;19,--MID(TEXT(N(D$12),REPT(0,3)),3,1),--MID(TEXT(N(D$12),REPT(0,3)),2,2))</f>
        <v>3</v>
      </c>
      <c r="E15" s="22">
        <f>N("Bila 2 digit terakhir &gt; 19 MAKA hasilkan 1 digit terakhir BILA TIDAK hasilkan 2 digit terakhir")+IF(--MID(TEXT(N(E$12),REPT(0,3)),2,2)&gt;19,--MID(TEXT(N(E$12),REPT(0,3)),3,1),--MID(TEXT(N(E$12),REPT(0,3)),2,2))</f>
        <v>17</v>
      </c>
      <c r="F15" s="22">
        <f>N("Bila 2 digit terakhir &gt; 19 MAKA hasilkan 1 digit terakhir BILA TIDAK hasilkan 2 digit terakhir")+IF(--MID(TEXT(N(F$12),REPT(0,3)),2,2)&gt;19,--MID(TEXT(N(F$12),REPT(0,3)),3,1),--MID(TEXT(N(F$12),REPT(0,3)),2,2))</f>
        <v>0</v>
      </c>
    </row>
    <row r="16" spans="2:6" ht="49.5" customHeight="1" x14ac:dyDescent="0.35">
      <c r="B16" s="23" t="s">
        <v>23</v>
      </c>
      <c r="C16" s="24" t="str">
        <f>IF(C13=0," ",VLOOKUP(C13,tblTerbilang[],2,0)&amp;" ratus ")&amp;IF(C14=0," ",VLOOKUP(C14,tblTerbilang[],2,0)&amp;" puluh ")&amp;IF(C15=0," ",VLOOKUP(C15,tblTerbilang[],2,0))&amp;IF(SUM(C13:C15)=0," "," milyar ")</f>
        <v xml:space="preserve">    </v>
      </c>
      <c r="D16" s="24" t="str">
        <f>IF(D13=0," ",VLOOKUP(D13,tblTerbilang[],2,0)&amp;" ratus ")&amp;IF(D14=0," ",VLOOKUP(D14,tblTerbilang[],2,0)&amp;" puluh ")&amp;IF(D15=0," ",VLOOKUP(D15,tblTerbilang[],2,0))&amp;IF(SUM(D13:D15)=0," "," juta ")</f>
        <v xml:space="preserve">tiga ratus sembilan puluh tiga juta </v>
      </c>
      <c r="E16" s="24" t="str">
        <f>IF(E13=0," ",VLOOKUP(E13,tblTerbilang[],2,0)&amp;" ratus ")&amp;IF(E14=0," ",VLOOKUP(E14,tblTerbilang[],2,0)&amp;" puluh ")&amp;IF(E15=0," ",VLOOKUP(E15,tblTerbilang[],2,0))&amp;IF(SUM(E13:E15)=0," "," ribu ")</f>
        <v xml:space="preserve">  tujuh belas ribu </v>
      </c>
      <c r="F16" s="24" t="str">
        <f>IF(F13=0," ",VLOOKUP(F13,tblTerbilang[],2,0)&amp;" ratus ")&amp;IF(F14=0," ",VLOOKUP(F14,tblTerbilang[],2,0)&amp;" puluh ")&amp;IF(F15=0," ",VLOOKUP(F15,tblTerbilang[],2,0)&amp;" ")</f>
        <v xml:space="preserve">satu ratus   </v>
      </c>
    </row>
    <row r="17" spans="2:6" ht="49.5" customHeight="1" x14ac:dyDescent="0.35">
      <c r="B17" s="25" t="s">
        <v>24</v>
      </c>
      <c r="C17" s="26" t="str">
        <f>TRIM(SUBSTITUTE(SUBSTITUTE(IF(C12=1,SUBSTITUTE(TRIM(C16),"satu ribu"," seribu "),TRIM(C16)),"satu ratus"," seratus "),"satu puluh"," sepuluh "))</f>
        <v/>
      </c>
      <c r="D17" s="26" t="str">
        <f>TRIM(SUBSTITUTE(SUBSTITUTE(IF(D12=1,SUBSTITUTE(TRIM(D16),"satu ribu"," seribu "),TRIM(D16)),"satu ratus"," seratus "),"satu puluh"," sepuluh "))</f>
        <v>tiga ratus sembilan puluh tiga juta</v>
      </c>
      <c r="E17" s="26" t="str">
        <f>TRIM(SUBSTITUTE(SUBSTITUTE(IF(E12=1,SUBSTITUTE(TRIM(E16),"satu ribu"," seribu "),TRIM(E16)),"satu ratus"," seratus "),"satu puluh"," sepuluh "))</f>
        <v>tujuh belas ribu</v>
      </c>
      <c r="F17" s="26" t="str">
        <f>TRIM(SUBSTITUTE(SUBSTITUTE(IF(F12=1,SUBSTITUTE(TRIM(F16),"satu ribu"," seribu "),TRIM(F16)),"satu ratus"," seratus "),"satu puluh"," sepuluh "))</f>
        <v>seratus</v>
      </c>
    </row>
    <row r="18" spans="2:6" x14ac:dyDescent="0.35"/>
    <row r="19" spans="2:6" x14ac:dyDescent="0.35"/>
    <row r="20" spans="2:6" x14ac:dyDescent="0.35"/>
    <row r="21" spans="2:6" hidden="1" x14ac:dyDescent="0.35"/>
    <row r="22" spans="2:6" hidden="1" x14ac:dyDescent="0.35"/>
    <row r="23" spans="2:6" hidden="1" x14ac:dyDescent="0.35"/>
    <row r="24" spans="2:6" hidden="1" x14ac:dyDescent="0.35">
      <c r="B24" s="27" t="s">
        <v>25</v>
      </c>
      <c r="C24" s="28" t="s">
        <v>11</v>
      </c>
    </row>
    <row r="25" spans="2:6" hidden="1" x14ac:dyDescent="0.35">
      <c r="B25" s="1">
        <v>0</v>
      </c>
    </row>
    <row r="26" spans="2:6" hidden="1" x14ac:dyDescent="0.35">
      <c r="B26" s="1">
        <v>1</v>
      </c>
      <c r="C26" s="2" t="s">
        <v>26</v>
      </c>
    </row>
    <row r="27" spans="2:6" hidden="1" x14ac:dyDescent="0.35">
      <c r="B27" s="1">
        <v>2</v>
      </c>
      <c r="C27" s="2" t="s">
        <v>27</v>
      </c>
    </row>
    <row r="28" spans="2:6" hidden="1" x14ac:dyDescent="0.35">
      <c r="B28" s="1">
        <v>3</v>
      </c>
      <c r="C28" s="2" t="s">
        <v>28</v>
      </c>
    </row>
    <row r="29" spans="2:6" hidden="1" x14ac:dyDescent="0.35">
      <c r="B29" s="1">
        <v>4</v>
      </c>
      <c r="C29" s="2" t="s">
        <v>29</v>
      </c>
    </row>
    <row r="30" spans="2:6" hidden="1" x14ac:dyDescent="0.35">
      <c r="B30" s="1">
        <v>5</v>
      </c>
      <c r="C30" s="2" t="s">
        <v>30</v>
      </c>
    </row>
    <row r="31" spans="2:6" hidden="1" x14ac:dyDescent="0.35">
      <c r="B31" s="1">
        <v>6</v>
      </c>
      <c r="C31" s="2" t="s">
        <v>31</v>
      </c>
    </row>
    <row r="32" spans="2:6" hidden="1" x14ac:dyDescent="0.35">
      <c r="B32" s="1">
        <v>7</v>
      </c>
      <c r="C32" s="2" t="s">
        <v>32</v>
      </c>
    </row>
    <row r="33" spans="2:3" hidden="1" x14ac:dyDescent="0.35">
      <c r="B33" s="1">
        <v>8</v>
      </c>
      <c r="C33" s="2" t="s">
        <v>33</v>
      </c>
    </row>
    <row r="34" spans="2:3" hidden="1" x14ac:dyDescent="0.35">
      <c r="B34" s="1">
        <v>9</v>
      </c>
      <c r="C34" s="2" t="s">
        <v>34</v>
      </c>
    </row>
    <row r="35" spans="2:3" hidden="1" x14ac:dyDescent="0.35">
      <c r="B35" s="1">
        <v>10</v>
      </c>
      <c r="C35" s="2" t="s">
        <v>35</v>
      </c>
    </row>
    <row r="36" spans="2:3" hidden="1" x14ac:dyDescent="0.35">
      <c r="B36" s="1">
        <v>11</v>
      </c>
      <c r="C36" s="2" t="s">
        <v>36</v>
      </c>
    </row>
    <row r="37" spans="2:3" hidden="1" x14ac:dyDescent="0.35">
      <c r="B37" s="1">
        <v>12</v>
      </c>
      <c r="C37" s="2" t="s">
        <v>37</v>
      </c>
    </row>
    <row r="38" spans="2:3" hidden="1" x14ac:dyDescent="0.35">
      <c r="B38" s="1">
        <v>13</v>
      </c>
      <c r="C38" s="2" t="s">
        <v>38</v>
      </c>
    </row>
    <row r="39" spans="2:3" hidden="1" x14ac:dyDescent="0.35">
      <c r="B39" s="1">
        <v>14</v>
      </c>
      <c r="C39" s="2" t="s">
        <v>39</v>
      </c>
    </row>
    <row r="40" spans="2:3" hidden="1" x14ac:dyDescent="0.35">
      <c r="B40" s="1">
        <v>15</v>
      </c>
      <c r="C40" s="2" t="s">
        <v>40</v>
      </c>
    </row>
    <row r="41" spans="2:3" hidden="1" x14ac:dyDescent="0.35">
      <c r="B41" s="1">
        <v>16</v>
      </c>
      <c r="C41" s="2" t="s">
        <v>41</v>
      </c>
    </row>
    <row r="42" spans="2:3" hidden="1" x14ac:dyDescent="0.35">
      <c r="B42" s="1">
        <v>17</v>
      </c>
      <c r="C42" s="2" t="s">
        <v>42</v>
      </c>
    </row>
    <row r="43" spans="2:3" hidden="1" x14ac:dyDescent="0.35">
      <c r="B43" s="1">
        <v>18</v>
      </c>
      <c r="C43" s="2" t="s">
        <v>43</v>
      </c>
    </row>
    <row r="44" spans="2:3" hidden="1" x14ac:dyDescent="0.35">
      <c r="B44" s="1">
        <v>19</v>
      </c>
      <c r="C44" s="2" t="s">
        <v>44</v>
      </c>
    </row>
  </sheetData>
  <sheetProtection sheet="1" objects="1" scenarios="1"/>
  <mergeCells count="3">
    <mergeCell ref="B1:F1"/>
    <mergeCell ref="B4:B6"/>
    <mergeCell ref="C4:F6"/>
  </mergeCells>
  <pageMargins left="0.7" right="0.7" top="0.75" bottom="0.75" header="0.3" footer="0.3"/>
  <pageSetup orientation="portrait" horizontalDpi="300" verticalDpi="300" r:id="rId1"/>
  <picture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6"/>
  <sheetViews>
    <sheetView workbookViewId="0">
      <selection activeCell="E5" sqref="E5"/>
    </sheetView>
  </sheetViews>
  <sheetFormatPr defaultColWidth="9.26953125" defaultRowHeight="30" customHeight="1" x14ac:dyDescent="0.35"/>
  <cols>
    <col min="1" max="1" width="2.7265625" style="30" customWidth="1"/>
    <col min="2" max="2" width="25.81640625" style="30" bestFit="1" customWidth="1"/>
    <col min="3" max="3" width="21.7265625" style="30" customWidth="1"/>
    <col min="4" max="4" width="25.7265625" style="30" customWidth="1"/>
    <col min="5" max="5" width="11.81640625" style="30" bestFit="1" customWidth="1"/>
    <col min="6" max="6" width="15.1796875" style="30" bestFit="1" customWidth="1"/>
    <col min="7" max="7" width="17.26953125" style="30" customWidth="1"/>
    <col min="8" max="8" width="11" style="30" bestFit="1" customWidth="1"/>
    <col min="9" max="9" width="13.26953125" style="30" customWidth="1"/>
    <col min="10" max="10" width="25" style="30" customWidth="1"/>
    <col min="11" max="11" width="22.7265625" style="30" customWidth="1"/>
    <col min="12" max="12" width="2.7265625" style="30" customWidth="1"/>
    <col min="13" max="13" width="22.7265625" style="30" customWidth="1"/>
    <col min="14" max="16384" width="9.26953125" style="30"/>
  </cols>
  <sheetData>
    <row r="1" spans="2:13" ht="42" customHeight="1" x14ac:dyDescent="0.35">
      <c r="B1" s="31" t="s">
        <v>47</v>
      </c>
      <c r="M1" s="32" t="s">
        <v>48</v>
      </c>
    </row>
    <row r="2" spans="2:13" ht="30" customHeight="1" x14ac:dyDescent="0.35">
      <c r="B2" s="30" t="s">
        <v>49</v>
      </c>
      <c r="C2" s="30" t="s">
        <v>50</v>
      </c>
      <c r="D2" s="30" t="s">
        <v>51</v>
      </c>
      <c r="E2" s="30" t="s">
        <v>52</v>
      </c>
      <c r="F2" s="30" t="s">
        <v>53</v>
      </c>
      <c r="G2" s="30" t="s">
        <v>54</v>
      </c>
      <c r="H2" s="30" t="s">
        <v>55</v>
      </c>
      <c r="I2" s="30" t="s">
        <v>56</v>
      </c>
      <c r="J2" s="30" t="s">
        <v>57</v>
      </c>
      <c r="K2" s="30" t="s">
        <v>58</v>
      </c>
    </row>
    <row r="3" spans="2:13" ht="30" customHeight="1" x14ac:dyDescent="0.35">
      <c r="B3" s="33" t="s">
        <v>59</v>
      </c>
      <c r="C3" s="33" t="s">
        <v>60</v>
      </c>
      <c r="D3" s="33" t="s">
        <v>61</v>
      </c>
      <c r="E3" s="33" t="s">
        <v>62</v>
      </c>
      <c r="F3" s="33" t="s">
        <v>63</v>
      </c>
      <c r="G3" s="33" t="s">
        <v>64</v>
      </c>
      <c r="H3" s="34" t="s">
        <v>65</v>
      </c>
      <c r="I3" s="35" t="s">
        <v>66</v>
      </c>
      <c r="J3" s="36" t="s">
        <v>67</v>
      </c>
      <c r="K3" s="35">
        <v>0</v>
      </c>
    </row>
    <row r="4" spans="2:13" ht="30" customHeight="1" x14ac:dyDescent="0.35">
      <c r="B4" s="33" t="s">
        <v>68</v>
      </c>
      <c r="C4" s="33"/>
      <c r="D4" s="37"/>
      <c r="E4" s="37"/>
      <c r="F4" s="37"/>
      <c r="G4" s="37"/>
      <c r="H4" s="38"/>
      <c r="I4" s="35"/>
      <c r="J4" s="36"/>
      <c r="K4" s="35"/>
    </row>
    <row r="5" spans="2:13" ht="30" customHeight="1" x14ac:dyDescent="0.35">
      <c r="B5" s="37"/>
      <c r="C5" s="33"/>
      <c r="D5" s="37"/>
      <c r="E5" s="37"/>
      <c r="F5" s="37"/>
      <c r="G5" s="37"/>
      <c r="H5" s="38"/>
      <c r="I5" s="35"/>
      <c r="J5" s="36"/>
      <c r="K5" s="35"/>
    </row>
    <row r="6" spans="2:13" ht="30" customHeight="1" x14ac:dyDescent="0.35">
      <c r="B6" s="33"/>
      <c r="C6" s="33"/>
      <c r="D6" s="37"/>
      <c r="E6" s="37"/>
      <c r="F6" s="37"/>
      <c r="G6" s="37"/>
      <c r="H6" s="38"/>
      <c r="I6" s="35"/>
      <c r="J6" s="36"/>
      <c r="K6" s="35"/>
    </row>
  </sheetData>
  <dataValidations count="13">
    <dataValidation allowBlank="1" showInputMessage="1" showErrorMessage="1" prompt="Navigation link to Commercial Invoice worksheet. This cell will not print" sqref="M1"/>
    <dataValidation allowBlank="1" showInputMessage="1" showErrorMessage="1" prompt="Enter Fax number in this column under this heading" sqref="K2"/>
    <dataValidation allowBlank="1" showInputMessage="1" showErrorMessage="1" prompt="Enter Email address in this column under this heading" sqref="J2"/>
    <dataValidation allowBlank="1" showInputMessage="1" showErrorMessage="1" prompt="Enter Phone number in this column under this heading" sqref="I2"/>
    <dataValidation allowBlank="1" showInputMessage="1" showErrorMessage="1" prompt="Enter ZIP Code in this column under this heading" sqref="H2"/>
    <dataValidation allowBlank="1" showInputMessage="1" showErrorMessage="1" prompt="Enter State in this column under this heading" sqref="G2"/>
    <dataValidation allowBlank="1" showInputMessage="1" showErrorMessage="1" prompt="Enter City in this column under this heading" sqref="F2"/>
    <dataValidation allowBlank="1" showInputMessage="1" showErrorMessage="1" prompt="Enter Address 2 in this column under this heading" sqref="E2"/>
    <dataValidation allowBlank="1" showInputMessage="1" showErrorMessage="1" prompt="Enter Address in this column under this heading" sqref="D2"/>
    <dataValidation allowBlank="1" showInputMessage="1" showErrorMessage="1" prompt="Enter Contact Name in this column under this heading" sqref="C2"/>
    <dataValidation allowBlank="1" showInputMessage="1" showErrorMessage="1" prompt="Enter Company Name in this column under this heading. Use heading filters to find specific entries" sqref="B2"/>
    <dataValidation allowBlank="1" showInputMessage="1" showErrorMessage="1" prompt="Title of this worksheet is in this cell" sqref="B1"/>
    <dataValidation allowBlank="1" showInputMessage="1" showErrorMessage="1" prompt="Enter customer details in this worksheet. Customer information entered is used in Commercial Invoice worksheet. Select cell M1 to navigate to Commercial Invoice worksheet" sqref="A1"/>
  </dataValidations>
  <hyperlinks>
    <hyperlink ref="J3" r:id="rId1"/>
    <hyperlink ref="M1" location="'Commercial Invoice'!A1" tooltip="Select to navigate to Commercial Invoice worksheet" display="Commercial Invoice"/>
  </hyperlinks>
  <pageMargins left="0.7" right="0.7" top="0.75" bottom="0.75" header="0.3" footer="0.3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Kuitansi (terbilang)</vt:lpstr>
      <vt:lpstr>Rumus Terbilang</vt:lpstr>
      <vt:lpstr>Sheet1</vt:lpstr>
      <vt:lpstr>nilai</vt:lpstr>
      <vt:lpstr>'Kuitansi (terbilang)'!Print_Area</vt:lpstr>
    </vt:vector>
  </TitlesOfParts>
  <Company>user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Kwitansi Excel (Rumus Terbilang)</dc:title>
  <dc:creator>Excelku.com</dc:creator>
  <cp:lastModifiedBy>ACER</cp:lastModifiedBy>
  <cp:lastPrinted>2022-09-06T05:43:29Z</cp:lastPrinted>
  <dcterms:created xsi:type="dcterms:W3CDTF">2014-12-25T06:07:17Z</dcterms:created>
  <dcterms:modified xsi:type="dcterms:W3CDTF">2023-02-02T05:07:48Z</dcterms:modified>
</cp:coreProperties>
</file>