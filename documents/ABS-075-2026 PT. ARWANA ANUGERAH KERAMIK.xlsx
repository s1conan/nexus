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dah\PT. A B S\PENAWARAN\2026\"/>
    </mc:Choice>
  </mc:AlternateContent>
  <xr:revisionPtr revIDLastSave="0" documentId="13_ncr:1_{3A847E1C-B276-4276-896C-E5FE056642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definedNames>
    <definedName name="_xlnm.Print_Area" localSheetId="0">Sheet2!$A$1:$K$54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2" l="1"/>
  <c r="G26" i="2" l="1"/>
  <c r="G27" i="2"/>
  <c r="G28" i="2" l="1"/>
  <c r="G30" i="2" s="1"/>
</calcChain>
</file>

<file path=xl/sharedStrings.xml><?xml version="1.0" encoding="utf-8"?>
<sst xmlns="http://schemas.openxmlformats.org/spreadsheetml/2006/main" count="58" uniqueCount="46">
  <si>
    <t>Kepada Yth:</t>
  </si>
  <si>
    <t>Dengan Hormat,</t>
  </si>
  <si>
    <t>Component Price</t>
  </si>
  <si>
    <t>Percentage</t>
  </si>
  <si>
    <t>PBBKB</t>
  </si>
  <si>
    <t>Harga Dasar Pertamina</t>
  </si>
  <si>
    <t>:</t>
  </si>
  <si>
    <t>Discond</t>
  </si>
  <si>
    <t xml:space="preserve">PPN </t>
  </si>
  <si>
    <t xml:space="preserve">Total Harga Include Pajak </t>
  </si>
  <si>
    <t>Ongkos Angkut</t>
  </si>
  <si>
    <t>NB :</t>
  </si>
  <si>
    <t>Syarat-syarat dan Ketentuan :</t>
  </si>
  <si>
    <t>.</t>
  </si>
  <si>
    <t>Harga dasar Pertamina yang dipakai adalah harga dasar wilayah Sumater selatan.</t>
  </si>
  <si>
    <t>Toleransi susut yang berlaku adalah 0.5% sesuai standar yang berlaku.</t>
  </si>
  <si>
    <t>Hormat Kami</t>
  </si>
  <si>
    <t>Harga HSD Solar +include OAT</t>
  </si>
  <si>
    <t>Pengiriman 2 (Dua) hari kalender setelah PO diterima dengan lengkap.</t>
  </si>
  <si>
    <t>Solar Industri/High Speed Diesel (HSD), maka dengan ini perkenankan kami menyampaikan penawaran untuk</t>
  </si>
  <si>
    <t>produk HSD (Solar Industri) adalah sebagai berikut :</t>
  </si>
  <si>
    <t>Demikianlah surat penawaran ini kami sampaikan, besar harapan kami dapat bekerja sama dan dapat</t>
  </si>
  <si>
    <t xml:space="preserve">memenuhi kebutuhan bahan bakar solar (HSD) diperusahaan bapak/ibu dan atas perhatian dan </t>
  </si>
  <si>
    <t>kerjasamanya kami ucapkan terima kasih.</t>
  </si>
  <si>
    <t>PRICE</t>
  </si>
  <si>
    <t>Minimum Order 5.000 Liter.</t>
  </si>
  <si>
    <t>No</t>
  </si>
  <si>
    <t>Perihal</t>
  </si>
  <si>
    <t>: Penawaran BBM ( HSD)</t>
  </si>
  <si>
    <r>
      <t xml:space="preserve">Bersama ini kami dari </t>
    </r>
    <r>
      <rPr>
        <b/>
        <sz val="11"/>
        <color theme="1"/>
        <rFont val="Calibri"/>
        <family val="2"/>
        <scheme val="minor"/>
      </rPr>
      <t xml:space="preserve">PT. Anugerah Buana Sriwijaya </t>
    </r>
    <r>
      <rPr>
        <sz val="11"/>
        <color theme="1"/>
        <rFont val="Calibri"/>
        <family val="2"/>
        <charset val="1"/>
        <scheme val="minor"/>
      </rPr>
      <t>ingin mengajukan penawaran Bahan Bakar Minyak  HSD</t>
    </r>
  </si>
  <si>
    <r>
      <t xml:space="preserve">Pembayaran dapat ditransfer ke Rekening atas nama </t>
    </r>
    <r>
      <rPr>
        <b/>
        <sz val="11"/>
        <color theme="1"/>
        <rFont val="Calibri"/>
        <family val="2"/>
        <scheme val="minor"/>
      </rPr>
      <t>PT. Anugerah Buana Sriwijaya.</t>
    </r>
  </si>
  <si>
    <r>
      <t xml:space="preserve">A/C 1130077111171 </t>
    </r>
    <r>
      <rPr>
        <b/>
        <sz val="11"/>
        <color theme="1"/>
        <rFont val="Calibri"/>
        <family val="2"/>
        <scheme val="minor"/>
      </rPr>
      <t>Bank Mandiri Cabang Universitas IBA Palembang .</t>
    </r>
  </si>
  <si>
    <t>Harga Dasar PT. ABS</t>
  </si>
  <si>
    <t>DIREKTUR</t>
  </si>
  <si>
    <t>PT. ANUGERAH BUANA SRIWIJAYA</t>
  </si>
  <si>
    <t>Kota Palembang, Sumatera Selatan</t>
  </si>
  <si>
    <t>Email : anugerah.buanasriwijaya75@gmail.com</t>
  </si>
  <si>
    <t>Telepon / Fax : 0812-71799190</t>
  </si>
  <si>
    <t>Jl. Bayam No 1702 Rt. 021 Rw. 009 Kel. 9 Ilir Kec. IT II</t>
  </si>
  <si>
    <t>Indah Permatasari</t>
  </si>
  <si>
    <t>PT. Arwana Anugerah Keramik</t>
  </si>
  <si>
    <t>Up. Bapak Dika</t>
  </si>
  <si>
    <t>Pembayaran dilakukan 30 (Tiga Puluh) hari setelah barang diterima.</t>
  </si>
  <si>
    <t>Palembang, 21 Mei 2026</t>
  </si>
  <si>
    <t>: 075/ABS-PLM/V/2026</t>
  </si>
  <si>
    <t xml:space="preserve">  Penawaran Per tanggal 15 s/d 31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</si>
</sst>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_([$Rp-421]* #,##0_);_([$Rp-421]* \(#,##0\);_([$Rp-421]* &quot;-&quot;_);_(@_)"/>
    <numFmt numFmtId="165" formatCode="_([$Rp-421]* #,##0_);_([$Rp-421]* \(#,##0\);_([$Rp-421]* &quot;-&quot;??_);_(@_)"/>
    <numFmt numFmtId="166" formatCode="_([$Rp-421]* #,##0.00_);_([$Rp-421]* \(#,##0.00\);_([$Rp-421]* &quot;-&quot;??_);_(@_)"/>
  </numFmts>
  <fonts count="9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_PDMS_IslamicFont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8" fillId="0" borderId="0" xfId="0" applyNumberFormat="1" applyFont="1" applyAlignment="1">
      <alignment horizontal="left" vertical="center"/>
    </xf>
    <xf numFmtId="44" fontId="0" fillId="0" borderId="0" xfId="0" applyNumberFormat="1"/>
    <xf numFmtId="44" fontId="8" fillId="0" borderId="0" xfId="0" applyNumberFormat="1" applyFont="1" applyAlignment="1">
      <alignment vertical="center"/>
    </xf>
    <xf numFmtId="166" fontId="0" fillId="0" borderId="2" xfId="0" applyNumberForma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2" borderId="3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2" borderId="1" xfId="0" applyFont="1" applyFill="1" applyBorder="1"/>
    <xf numFmtId="0" fontId="3" fillId="0" borderId="2" xfId="0" applyFont="1" applyBorder="1"/>
    <xf numFmtId="0" fontId="0" fillId="2" borderId="3" xfId="0" applyFill="1" applyBorder="1" applyAlignment="1">
      <alignment vertic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6</xdr:row>
      <xdr:rowOff>82550</xdr:rowOff>
    </xdr:from>
    <xdr:to>
      <xdr:col>9</xdr:col>
      <xdr:colOff>755650</xdr:colOff>
      <xdr:row>6</xdr:row>
      <xdr:rowOff>92075</xdr:rowOff>
    </xdr:to>
    <xdr:cxnSp macro="">
      <xdr:nvCxnSpPr>
        <xdr:cNvPr id="2053" name="AutoShape 5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CxnSpPr>
          <a:cxnSpLocks noChangeShapeType="1"/>
        </xdr:cNvCxnSpPr>
      </xdr:nvCxnSpPr>
      <xdr:spPr bwMode="auto">
        <a:xfrm>
          <a:off x="12700" y="1187450"/>
          <a:ext cx="6483350" cy="9525"/>
        </a:xfrm>
        <a:prstGeom prst="straightConnector1">
          <a:avLst/>
        </a:prstGeom>
        <a:noFill/>
        <a:ln w="38100">
          <a:solidFill>
            <a:srgbClr val="002060"/>
          </a:solidFill>
          <a:round/>
          <a:headEnd/>
          <a:tailEnd/>
        </a:ln>
      </xdr:spPr>
    </xdr:cxnSp>
    <xdr:clientData/>
  </xdr:twoCellAnchor>
  <xdr:twoCellAnchor editAs="oneCell">
    <xdr:from>
      <xdr:col>1</xdr:col>
      <xdr:colOff>57151</xdr:colOff>
      <xdr:row>45</xdr:row>
      <xdr:rowOff>88902</xdr:rowOff>
    </xdr:from>
    <xdr:to>
      <xdr:col>2</xdr:col>
      <xdr:colOff>508000</xdr:colOff>
      <xdr:row>51</xdr:row>
      <xdr:rowOff>100729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317501" y="8699502"/>
          <a:ext cx="1130299" cy="1027827"/>
        </a:xfrm>
        <a:prstGeom prst="rect">
          <a:avLst/>
        </a:prstGeom>
      </xdr:spPr>
    </xdr:pic>
    <xdr:clientData/>
  </xdr:twoCellAnchor>
  <xdr:twoCellAnchor editAs="oneCell">
    <xdr:from>
      <xdr:col>1</xdr:col>
      <xdr:colOff>196851</xdr:colOff>
      <xdr:row>0</xdr:row>
      <xdr:rowOff>0</xdr:rowOff>
    </xdr:from>
    <xdr:to>
      <xdr:col>2</xdr:col>
      <xdr:colOff>717550</xdr:colOff>
      <xdr:row>5</xdr:row>
      <xdr:rowOff>170595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141" t="17464" r="19648" b="24146"/>
        <a:stretch/>
      </xdr:blipFill>
      <xdr:spPr>
        <a:xfrm>
          <a:off x="196851" y="0"/>
          <a:ext cx="1200149" cy="1091345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48</xdr:row>
      <xdr:rowOff>101600</xdr:rowOff>
    </xdr:from>
    <xdr:to>
      <xdr:col>2</xdr:col>
      <xdr:colOff>779122</xdr:colOff>
      <xdr:row>52</xdr:row>
      <xdr:rowOff>177799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38D59-53A8-43CC-94AE-AF68D9EA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8204200"/>
          <a:ext cx="1293472" cy="90169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3"/>
  <sheetViews>
    <sheetView tabSelected="1" topLeftCell="A12" workbookViewId="0">
      <selection activeCell="I30" sqref="I30"/>
    </sheetView>
  </sheetViews>
  <sheetFormatPr defaultRowHeight="14.5"/>
  <cols>
    <col min="1" max="1" width="2.453125" customWidth="1"/>
    <col min="2" max="2" width="9.7265625" customWidth="1"/>
    <col min="3" max="3" width="14.7265625" customWidth="1"/>
    <col min="4" max="4" width="13.1796875" customWidth="1"/>
    <col min="5" max="5" width="10.1796875" hidden="1" customWidth="1"/>
    <col min="6" max="6" width="4.26953125" customWidth="1"/>
    <col min="7" max="7" width="12.453125" customWidth="1"/>
    <col min="8" max="8" width="11" customWidth="1"/>
    <col min="9" max="9" width="13.54296875" customWidth="1"/>
    <col min="10" max="10" width="12.90625" customWidth="1"/>
    <col min="11" max="11" width="2.6328125" customWidth="1"/>
  </cols>
  <sheetData>
    <row r="2" spans="2:10" ht="14.5" customHeight="1">
      <c r="D2" s="19" t="s">
        <v>34</v>
      </c>
      <c r="E2" s="19"/>
      <c r="F2" s="19"/>
      <c r="G2" s="19"/>
      <c r="H2" s="19"/>
      <c r="I2" s="19"/>
      <c r="J2" s="19"/>
    </row>
    <row r="3" spans="2:10">
      <c r="D3" s="21" t="s">
        <v>38</v>
      </c>
      <c r="E3" s="22"/>
      <c r="F3" s="22"/>
      <c r="G3" s="23"/>
      <c r="H3" s="20"/>
      <c r="I3" s="20"/>
      <c r="J3" s="20"/>
    </row>
    <row r="4" spans="2:10">
      <c r="D4" s="21" t="s">
        <v>35</v>
      </c>
      <c r="E4" s="22"/>
      <c r="F4" s="22"/>
      <c r="G4" s="23"/>
      <c r="H4" s="20"/>
      <c r="I4" s="20"/>
      <c r="J4" s="20"/>
    </row>
    <row r="5" spans="2:10">
      <c r="D5" s="21" t="s">
        <v>36</v>
      </c>
      <c r="E5" s="22"/>
      <c r="F5" s="22"/>
      <c r="G5" s="23"/>
      <c r="H5" s="20"/>
      <c r="I5" s="20"/>
      <c r="J5" s="20"/>
    </row>
    <row r="6" spans="2:10">
      <c r="B6" s="8"/>
      <c r="C6" s="8"/>
      <c r="D6" s="21" t="s">
        <v>37</v>
      </c>
      <c r="E6" s="22"/>
      <c r="F6" s="22"/>
      <c r="G6" s="23"/>
      <c r="H6" s="8"/>
      <c r="I6" s="8"/>
      <c r="J6" s="8"/>
    </row>
    <row r="7" spans="2:10" ht="7.5" customHeight="1"/>
    <row r="8" spans="2:10" ht="7.5" customHeight="1"/>
    <row r="9" spans="2:10">
      <c r="B9" s="1" t="s">
        <v>26</v>
      </c>
      <c r="C9" t="s">
        <v>44</v>
      </c>
      <c r="I9" t="s">
        <v>43</v>
      </c>
    </row>
    <row r="10" spans="2:10">
      <c r="B10" s="1" t="s">
        <v>27</v>
      </c>
      <c r="C10" t="s">
        <v>28</v>
      </c>
    </row>
    <row r="11" spans="2:10">
      <c r="C11" t="s">
        <v>45</v>
      </c>
    </row>
    <row r="13" spans="2:10">
      <c r="B13" t="s">
        <v>0</v>
      </c>
    </row>
    <row r="14" spans="2:10">
      <c r="B14" s="2" t="s">
        <v>40</v>
      </c>
    </row>
    <row r="15" spans="2:10">
      <c r="B15" s="3" t="s">
        <v>41</v>
      </c>
      <c r="C15" s="3"/>
      <c r="D15" s="3"/>
      <c r="E15" s="3"/>
      <c r="F15" s="3"/>
      <c r="G15" s="3"/>
      <c r="H15" s="3"/>
      <c r="I15" s="3"/>
      <c r="J15" s="3"/>
    </row>
    <row r="16" spans="2:10">
      <c r="B16" s="3"/>
      <c r="C16" s="3"/>
      <c r="D16" s="3"/>
      <c r="E16" s="3"/>
      <c r="F16" s="3"/>
      <c r="G16" s="3"/>
      <c r="H16" s="3"/>
      <c r="I16" s="3"/>
      <c r="J16" s="3"/>
    </row>
    <row r="17" spans="2:9">
      <c r="B17" s="31" t="s">
        <v>1</v>
      </c>
      <c r="C17" s="31"/>
      <c r="D17" s="3"/>
      <c r="E17" s="3"/>
      <c r="F17" s="3"/>
      <c r="G17" s="3"/>
      <c r="H17" s="3"/>
      <c r="I17" s="3"/>
    </row>
    <row r="18" spans="2:9">
      <c r="B18" t="s">
        <v>29</v>
      </c>
    </row>
    <row r="19" spans="2:9">
      <c r="B19" t="s">
        <v>19</v>
      </c>
    </row>
    <row r="20" spans="2:9">
      <c r="B20" t="s">
        <v>20</v>
      </c>
    </row>
    <row r="21" spans="2:9" ht="15" thickBot="1"/>
    <row r="22" spans="2:9">
      <c r="C22" s="32" t="s">
        <v>2</v>
      </c>
      <c r="D22" s="32"/>
      <c r="E22" s="28" t="s">
        <v>3</v>
      </c>
      <c r="F22" s="28"/>
      <c r="G22" s="18" t="s">
        <v>24</v>
      </c>
      <c r="H22" s="9"/>
      <c r="I22" s="9"/>
    </row>
    <row r="23" spans="2:9" ht="12.5" customHeight="1">
      <c r="C23" s="27" t="s">
        <v>5</v>
      </c>
      <c r="D23" s="27"/>
      <c r="E23" s="27"/>
      <c r="F23" s="14" t="s">
        <v>6</v>
      </c>
      <c r="G23" s="24">
        <v>25750</v>
      </c>
      <c r="H23" s="10"/>
      <c r="I23" s="10"/>
    </row>
    <row r="24" spans="2:9" ht="14.5" hidden="1" customHeight="1">
      <c r="C24" s="27" t="s">
        <v>7</v>
      </c>
      <c r="D24" s="27"/>
      <c r="E24" s="15">
        <v>0.43</v>
      </c>
      <c r="F24" s="14" t="s">
        <v>6</v>
      </c>
      <c r="G24" s="24">
        <f>G23*E24</f>
        <v>11072.5</v>
      </c>
      <c r="H24" s="11"/>
      <c r="I24" s="11"/>
    </row>
    <row r="25" spans="2:9">
      <c r="C25" s="27" t="s">
        <v>32</v>
      </c>
      <c r="D25" s="27"/>
      <c r="E25" s="27"/>
      <c r="F25" s="14"/>
      <c r="G25" s="25">
        <v>21097.05</v>
      </c>
      <c r="H25" s="12"/>
      <c r="I25" s="12"/>
    </row>
    <row r="26" spans="2:9">
      <c r="C26" s="36" t="s">
        <v>8</v>
      </c>
      <c r="D26" s="37"/>
      <c r="E26" s="16">
        <v>0.11</v>
      </c>
      <c r="F26" s="14" t="s">
        <v>6</v>
      </c>
      <c r="G26" s="24">
        <f>G25*E26</f>
        <v>2320.6754999999998</v>
      </c>
      <c r="H26" s="11"/>
      <c r="I26" s="12"/>
    </row>
    <row r="27" spans="2:9">
      <c r="C27" s="36" t="s">
        <v>4</v>
      </c>
      <c r="D27" s="37"/>
      <c r="E27" s="15">
        <v>7.4999999999999997E-2</v>
      </c>
      <c r="F27" s="14" t="s">
        <v>6</v>
      </c>
      <c r="G27" s="24">
        <f>G25*7.5%</f>
        <v>1582.2787499999999</v>
      </c>
      <c r="H27" s="11"/>
      <c r="I27" s="11"/>
    </row>
    <row r="28" spans="2:9">
      <c r="C28" s="29" t="s">
        <v>9</v>
      </c>
      <c r="D28" s="29"/>
      <c r="E28" s="29"/>
      <c r="F28" s="14" t="s">
        <v>6</v>
      </c>
      <c r="G28" s="24">
        <f>G25+G26+G27</f>
        <v>25000.004250000002</v>
      </c>
      <c r="H28" s="11"/>
      <c r="I28" s="11"/>
    </row>
    <row r="29" spans="2:9" ht="15.5" hidden="1" customHeight="1">
      <c r="C29" s="34" t="s">
        <v>10</v>
      </c>
      <c r="D29" s="34"/>
      <c r="E29" s="34"/>
      <c r="F29" s="14" t="s">
        <v>6</v>
      </c>
      <c r="G29" s="24">
        <v>0</v>
      </c>
      <c r="H29" s="11"/>
      <c r="I29" s="11"/>
    </row>
    <row r="30" spans="2:9" ht="15" thickBot="1">
      <c r="B30" s="4"/>
      <c r="C30" s="30" t="s">
        <v>17</v>
      </c>
      <c r="D30" s="30"/>
      <c r="E30" s="30"/>
      <c r="F30" s="17" t="s">
        <v>6</v>
      </c>
      <c r="G30" s="26">
        <f>SUM(G28:G29)</f>
        <v>25000.004250000002</v>
      </c>
      <c r="H30" s="13"/>
      <c r="I30" s="13"/>
    </row>
    <row r="31" spans="2:9">
      <c r="B31" s="2" t="s">
        <v>11</v>
      </c>
      <c r="C31" s="35"/>
      <c r="D31" s="35"/>
      <c r="E31" s="35"/>
      <c r="F31" s="35"/>
      <c r="G31" s="35"/>
      <c r="H31" s="35"/>
    </row>
    <row r="32" spans="2:9">
      <c r="B32" s="35" t="s">
        <v>12</v>
      </c>
      <c r="C32" s="35"/>
      <c r="D32" s="35"/>
      <c r="E32" s="35"/>
      <c r="F32" s="35"/>
      <c r="G32" s="35"/>
      <c r="H32" s="35"/>
    </row>
    <row r="33" spans="2:3">
      <c r="B33" s="5" t="s">
        <v>13</v>
      </c>
      <c r="C33" t="s">
        <v>18</v>
      </c>
    </row>
    <row r="34" spans="2:3">
      <c r="B34" s="5" t="s">
        <v>13</v>
      </c>
      <c r="C34" t="s">
        <v>25</v>
      </c>
    </row>
    <row r="35" spans="2:3">
      <c r="B35" s="5" t="s">
        <v>13</v>
      </c>
      <c r="C35" t="s">
        <v>14</v>
      </c>
    </row>
    <row r="36" spans="2:3">
      <c r="B36" s="5" t="s">
        <v>13</v>
      </c>
      <c r="C36" t="s">
        <v>15</v>
      </c>
    </row>
    <row r="37" spans="2:3">
      <c r="B37" s="5" t="s">
        <v>13</v>
      </c>
      <c r="C37" t="s">
        <v>30</v>
      </c>
    </row>
    <row r="38" spans="2:3">
      <c r="B38" s="5" t="s">
        <v>13</v>
      </c>
      <c r="C38" t="s">
        <v>31</v>
      </c>
    </row>
    <row r="39" spans="2:3">
      <c r="B39" s="5" t="s">
        <v>13</v>
      </c>
      <c r="C39" t="s">
        <v>42</v>
      </c>
    </row>
    <row r="40" spans="2:3">
      <c r="B40" s="5"/>
    </row>
    <row r="42" spans="2:3">
      <c r="B42" t="s">
        <v>21</v>
      </c>
    </row>
    <row r="43" spans="2:3">
      <c r="B43" t="s">
        <v>22</v>
      </c>
    </row>
    <row r="44" spans="2:3">
      <c r="B44" t="s">
        <v>23</v>
      </c>
    </row>
    <row r="46" spans="2:3">
      <c r="B46" s="33" t="s">
        <v>16</v>
      </c>
      <c r="C46" s="33"/>
    </row>
    <row r="48" spans="2:3" ht="0.5" customHeight="1"/>
    <row r="50" spans="2:3" ht="18" customHeight="1"/>
    <row r="51" spans="2:3" ht="18" customHeight="1"/>
    <row r="52" spans="2:3">
      <c r="B52" s="6" t="s">
        <v>39</v>
      </c>
      <c r="C52" s="7"/>
    </row>
    <row r="53" spans="2:3">
      <c r="B53" s="2" t="s">
        <v>33</v>
      </c>
    </row>
  </sheetData>
  <mergeCells count="8">
    <mergeCell ref="B17:C17"/>
    <mergeCell ref="C22:D22"/>
    <mergeCell ref="B46:C46"/>
    <mergeCell ref="C29:E29"/>
    <mergeCell ref="C31:H31"/>
    <mergeCell ref="C27:D27"/>
    <mergeCell ref="C26:D26"/>
    <mergeCell ref="B32:H32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2026-05-21T05:40:05Z</cp:lastPrinted>
  <dcterms:created xsi:type="dcterms:W3CDTF">2018-01-06T07:24:59Z</dcterms:created>
  <dcterms:modified xsi:type="dcterms:W3CDTF">2026-05-21T05:53:45Z</dcterms:modified>
</cp:coreProperties>
</file>