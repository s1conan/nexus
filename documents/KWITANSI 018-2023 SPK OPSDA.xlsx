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8220"/>
  </bookViews>
  <sheets>
    <sheet name="Kuitansi (terbilang)" sheetId="1" r:id="rId1"/>
    <sheet name="Rumus Terbilang" sheetId="2" r:id="rId2"/>
    <sheet name="Sheet1" sheetId="3" r:id="rId3"/>
  </sheets>
  <externalReferences>
    <externalReference r:id="rId4"/>
  </externalReferences>
  <definedNames>
    <definedName name="idxRatusan">{"";"seratus";"dua ratus";"tiga ratus";"empat ratus";"lima ratus";"enam ratus";"tujuh ratus";"delapan ratus";"sembilan ratus"}</definedName>
    <definedName name="idxSatuSampaiDuaPuluh">{"";"satu";"dua";"tiga";"empat";"lima ";"enam";"tujuh";"delapan";"sembilan";"sepuluh";"sebelas";"dua belas";"tiga belas";"empat belas";"lima belas";"enam belas";"tujuh belas";"delapan belas";"sembilan belas";"dua puluh"}</definedName>
    <definedName name="InvoiceTotal">[1]Invoice!$E$37</definedName>
    <definedName name="juta">" "&amp;INDEX(idxRatusan,--LEFT(TEXT(RIGHT(nilai,9),REPT("0",9)),1)+1)&amp;" "&amp;IF((--MID(TEXT(RIGHT(nilai,9),REPT("0",9)),2,2)+1)&lt;=20,IF(--LEFT(TEXT(RIGHT(nilai,9),REPT("0",9)),3)=1," satu juta",INDEX(idxSatuSampaiDuaPuluh,--LEFT(TEXT(RIGHT(nilai,8),REPT("0",8)),2)+1)),INDEX(idxSatuSampaiDuaPuluh,--LEFT(RIGHT(nilai,8),1)+1)&amp;" puluh "&amp;INDEX(idxSatuSampaiDuaPuluh,--LEFT(RIGHT(nilai,7),1)+1))&amp;IF(OR(LEN(nilai)&lt;=6,--LEFT(TEXT(RIGHT(nilai,9),REPT("0",9)),3)={0;1}),""," juta")</definedName>
    <definedName name="juta2">" "&amp;INDEX(idxRatusan,--LEFT(TEXT(RIGHT(nilai,9),REPT("0",9)),1)+1)&amp;" "&amp;IF((--MID(TEXT(RIGHT(nilai,9),REPT("0",9)),2,2)+1)&lt;=20,IF(--LEFT(TEXT(RIGHT(nilai,9),REPT("0",9)),3)=1," satu juta / ",INDEX(idxSatuSampaiDuaPuluh,--LEFT(TEXT(RIGHT(nilai,8),REPT("0",8)),2)+1)),INDEX(idxSatuSampaiDuaPuluh,--LEFT(RIGHT(nilai,8),1)+1)&amp;" puluh "&amp;INDEX(idxSatuSampaiDuaPuluh,--LEFT(RIGHT(nilai,7),1)+1))&amp;IF(OR(LEN(nilai)&lt;=6,--LEFT(TEXT(RIGHT(nilai,9),REPT("0",9)),3)={0;1}),""," juta / ")</definedName>
    <definedName name="juta3">" "&amp;INDEX(idxRatusan,--LEFT(TEXT(RIGHT('Kuitansi (terbilang)'!XFD1,9),REPT("0",9)),1)+1)&amp;" "&amp;IF((--MID(TEXT(RIGHT('Kuitansi (terbilang)'!XFD1,9),REPT("0",9)),2,2)+1)&lt;=20,IF(--LEFT(TEXT(RIGHT('Kuitansi (terbilang)'!XFD1,9),REPT("0",9)),3)=1," satu juta",INDEX(idxSatuSampaiDuaPuluh,--LEFT(TEXT(RIGHT('Kuitansi (terbilang)'!XFD1,8),REPT("0",8)),2)+1)),INDEX(idxSatuSampaiDuaPuluh,--LEFT(RIGHT('Kuitansi (terbilang)'!XFD1,8),1)+1)&amp;" puluh "&amp;INDEX(idxSatuSampaiDuaPuluh,--LEFT(RIGHT('Kuitansi (terbilang)'!XFD1,7),1)+1))&amp;IF(OR(LEN('Kuitansi (terbilang)'!XFD1)&lt;=6,--LEFT(TEXT(RIGHT('Kuitansi (terbilang)'!XFD1,9),REPT("0",9)),3)={0;1}),""," juta")</definedName>
    <definedName name="juta4">" "&amp;INDEX(idxRatusan,--LEFT(TEXT(RIGHT('Kuitansi (terbilang)'!XFD1,9),REPT("0",9)),1)+1)&amp;" "&amp;IF((--MID(TEXT(RIGHT('Kuitansi (terbilang)'!XFD1,9),REPT("0",9)),2,2)+1)&lt;=20,IF(--LEFT(TEXT(RIGHT('Kuitansi (terbilang)'!XFD1,9),REPT("0",9)),3)=1," satu juta / ",INDEX(idxSatuSampaiDuaPuluh,--LEFT(TEXT(RIGHT('Kuitansi (terbilang)'!XFD1,8),REPT("0",8)),2)+1)),INDEX(idxSatuSampaiDuaPuluh,--LEFT(RIGHT('Kuitansi (terbilang)'!XFD1,8),1)+1)&amp;" puluh "&amp;INDEX(idxSatuSampaiDuaPuluh,--LEFT(RIGHT('Kuitansi (terbilang)'!XFD1,7),1)+1))&amp;IF(OR(LEN('Kuitansi (terbilang)'!XFD1)&lt;=6,--LEFT(TEXT(RIGHT('Kuitansi (terbilang)'!XFD1,9),REPT("0",9)),3)={0;1}),""," juta / ")</definedName>
    <definedName name="milyar">" "&amp;INDEX(idxRatusan,--LEFT(TEXT(RIGHT(nilai,12),REPT("0",12)),1)+1)&amp;" "&amp;IF((--MID(TEXT(RIGHT(nilai,12),REPT("0",12)),2,2)+1)&lt;=20,IF(--LEFT(TEXT(RIGHT(nilai,12),REPT("0",12)),3)=1," satu milyar",INDEX(idxSatuSampaiDuaPuluh,--LEFT(TEXT(RIGHT(nilai,11),REPT("0",11)),2)+1)),INDEX(idxSatuSampaiDuaPuluh,--LEFT(RIGHT(nilai,11),1)+1)&amp;" puluh "&amp;INDEX(idxSatuSampaiDuaPuluh,--LEFT(RIGHT(nilai,10),1)+1))&amp;IF(OR(LEN(nilai)&lt;=9,--LEFT(TEXT(RIGHT(nilai,12),REPT("0",12)),3)={0;1}),""," milyar")</definedName>
    <definedName name="milyar2">" "&amp;INDEX(idxRatusan,--LEFT(TEXT(RIGHT(nilai,12),REPT("0",12)),1)+1)&amp;" "&amp;IF((--MID(TEXT(RIGHT(nilai,12),REPT("0",12)),2,2)+1)&lt;=20,IF(--LEFT(TEXT(RIGHT(nilai,12),REPT("0",12)),3)=1," satu milyar / ",INDEX(idxSatuSampaiDuaPuluh,--LEFT(TEXT(RIGHT(nilai,11),REPT("0",11)),2)+1)),INDEX(idxSatuSampaiDuaPuluh,--LEFT(RIGHT(nilai,11),1)+1)&amp;" puluh "&amp;INDEX(idxSatuSampaiDuaPuluh,--LEFT(RIGHT(nilai,10),1)+1))&amp;IF(OR(LEN(nilai)&lt;=9,--LEFT(TEXT(RIGHT(nilai,12),REPT("0",12)),3)={0;1}),""," milyar / ")</definedName>
    <definedName name="milyar3">" "&amp;INDEX(idxRatusan,--LEFT(TEXT(RIGHT('Kuitansi (terbilang)'!XFD1,12),REPT("0",12)),1)+1)&amp;" "&amp;IF((--MID(TEXT(RIGHT('Kuitansi (terbilang)'!XFD1,12),REPT("0",12)),2,2)+1)&lt;=20,IF(--LEFT(TEXT(RIGHT('Kuitansi (terbilang)'!XFD1,12),REPT("0",12)),3)=1," satu milyar",INDEX(idxSatuSampaiDuaPuluh,--LEFT(TEXT(RIGHT('Kuitansi (terbilang)'!XFD1,11),REPT("0",11)),2)+1)),INDEX(idxSatuSampaiDuaPuluh,--LEFT(RIGHT('Kuitansi (terbilang)'!XFD1,11),1)+1)&amp;" puluh "&amp;INDEX(idxSatuSampaiDuaPuluh,--LEFT(RIGHT('Kuitansi (terbilang)'!XFD1,10),1)+1))&amp;IF(OR(LEN('Kuitansi (terbilang)'!XFD1)&lt;=9,--LEFT(TEXT(RIGHT('Kuitansi (terbilang)'!XFD1,12),REPT("0",12)),3)={0;1}),""," milyar")</definedName>
    <definedName name="milyar4">" "&amp;INDEX(idxRatusan,--LEFT(TEXT(RIGHT('Kuitansi (terbilang)'!XFD1,12),REPT("0",12)),1)+1)&amp;" "&amp;IF((--MID(TEXT(RIGHT('Kuitansi (terbilang)'!XFD1,12),REPT("0",12)),2,2)+1)&lt;=20,IF(--LEFT(TEXT(RIGHT('Kuitansi (terbilang)'!XFD1,12),REPT("0",12)),3)=1," satu milyar / ",INDEX(idxSatuSampaiDuaPuluh,--LEFT(TEXT(RIGHT('Kuitansi (terbilang)'!XFD1,11),REPT("0",11)),2)+1)),INDEX(idxSatuSampaiDuaPuluh,--LEFT(RIGHT('Kuitansi (terbilang)'!XFD1,11),1)+1)&amp;" puluh "&amp;INDEX(idxSatuSampaiDuaPuluh,--LEFT(RIGHT('Kuitansi (terbilang)'!XFD1,10),1)+1))&amp;IF(OR(LEN('Kuitansi (terbilang)'!XFD1)&lt;=9,--LEFT(TEXT(RIGHT('Kuitansi (terbilang)'!XFD1,12),REPT("0",12)),3)={0;1}),""," milyar / ")</definedName>
    <definedName name="nilai">'Kuitansi (terbilang)'!$G$22</definedName>
    <definedName name="_xlnm.Print_Area" localSheetId="0">'Kuitansi (terbilang)'!$A$1:$BV$27</definedName>
    <definedName name="ratus">" "&amp;INDEX(idxRatusan,--LEFT(TEXT(RIGHT(nilai,3),"000"),1)+1)&amp;" "&amp;IF(--RIGHT(nilai,2)&lt;=20,INDEX(idxSatuSampaiDuaPuluh,--LEFT(RIGHT(nilai,2),2)+1),INDEX(idxSatuSampaiDuaPuluh,--LEFT(RIGHT(nilai,2),1)+1)&amp;" puluh "&amp;INDEX(idxSatuSampaiDuaPuluh,--RIGHT(nilai,1)+1))</definedName>
    <definedName name="ratus2">" "&amp;INDEX(idxRatusan,--LEFT(TEXT(RIGHT(nilai,3),"000"),1)+1)&amp;" "&amp;IF(--RIGHT(nilai,2)&lt;=20,INDEX(idxSatuSampaiDuaPuluh,--LEFT(RIGHT(nilai,2),2)+1),INDEX(idxSatuSampaiDuaPuluh,--LEFT(RIGHT(nilai,2),1)+1)&amp;" puluh "&amp;INDEX(idxSatuSampaiDuaPuluh,--RIGHT(nilai,1)+1))</definedName>
    <definedName name="ratus3">" "&amp;INDEX(idxRatusan,--LEFT(TEXT(RIGHT('Kuitansi (terbilang)'!XFD1,3),"000"),1)+1)&amp;" "&amp;IF(--RIGHT('Kuitansi (terbilang)'!XFD1,2)&lt;=20,INDEX(idxSatuSampaiDuaPuluh,--LEFT(RIGHT('Kuitansi (terbilang)'!XFD1,2),2)+1),INDEX(idxSatuSampaiDuaPuluh,--LEFT(RIGHT('Kuitansi (terbilang)'!XFD1,2),1)+1)&amp;" puluh "&amp;INDEX(idxSatuSampaiDuaPuluh,--RIGHT('Kuitansi (terbilang)'!XFD1,1)+1))</definedName>
    <definedName name="ratus4">" "&amp;INDEX(idxRatusan,--LEFT(TEXT(RIGHT('Kuitansi (terbilang)'!XFD1,3),"000"),1)+1)&amp;" "&amp;IF(--RIGHT('Kuitansi (terbilang)'!XFD1,2)&lt;=20,INDEX(idxSatuSampaiDuaPuluh,--LEFT(RIGHT('Kuitansi (terbilang)'!XFD1,2),2)+1),INDEX(idxSatuSampaiDuaPuluh,--LEFT(RIGHT('Kuitansi (terbilang)'!XFD1,2),1)+1)&amp;" puluh "&amp;INDEX(idxSatuSampaiDuaPuluh,--RIGHT('Kuitansi (terbilang)'!XFD1,1)+1))</definedName>
    <definedName name="ribu">" "&amp;INDEX(idxRatusan,--LEFT(TEXT(RIGHT(nilai,6),REPT("0",6)),1)+1)&amp;" "&amp;IF((--MID(TEXT(RIGHT(nilai,6),REPT("0",6)),2,2)+1)&lt;=20,IF(--LEFT(TEXT(RIGHT(nilai,6),REPT("0",6)),3)=1," seribu",INDEX(idxSatuSampaiDuaPuluh,--LEFT(TEXT(RIGHT(nilai,5),REPT("0",5)),2)+1)),INDEX(idxSatuSampaiDuaPuluh,--LEFT(RIGHT(nilai,5),1)+1)&amp;" puluh "&amp;INDEX(idxSatuSampaiDuaPuluh,--LEFT(RIGHT(nilai,4),1)+1))&amp;IF(OR(LEN(nilai)&lt;=3,--LEFT(TEXT(RIGHT(nilai,6),REPT("0",6)),3)={0;1}),""," ribu")</definedName>
    <definedName name="ribu2">" "&amp;INDEX(idxRatusan,--LEFT(TEXT(RIGHT(nilai,6),REPT("0",6)),1)+1)&amp;" "&amp;IF((--MID(TEXT(RIGHT(nilai,6),REPT("0",6)),2,2)+1)&lt;=20,IF(--LEFT(TEXT(RIGHT(nilai,6),REPT("0",6)),3)=1," seribu / ",INDEX(idxSatuSampaiDuaPuluh,--LEFT(TEXT(RIGHT(nilai,5),REPT("0",5)),2)+1)),INDEX(idxSatuSampaiDuaPuluh,--LEFT(RIGHT(nilai,5),1)+1)&amp;" puluh "&amp;INDEX(idxSatuSampaiDuaPuluh,--LEFT(RIGHT(nilai,4),1)+1))&amp;IF(OR(LEN(nilai)&lt;=3,--LEFT(TEXT(RIGHT(nilai,6),REPT("0",6)),3)={0;1}),""," ribu / ")</definedName>
    <definedName name="ribu3">" "&amp;INDEX(idxRatusan,--LEFT(TEXT(RIGHT('Kuitansi (terbilang)'!XFD1,6),REPT("0",6)),1)+1)&amp;" "&amp;IF((--MID(TEXT(RIGHT('Kuitansi (terbilang)'!XFD1,6),REPT("0",6)),2,2)+1)&lt;=20,IF(--LEFT(TEXT(RIGHT('Kuitansi (terbilang)'!XFD1,6),REPT("0",6)),3)=1," seribu",INDEX(idxSatuSampaiDuaPuluh,--LEFT(TEXT(RIGHT('Kuitansi (terbilang)'!XFD1,5),REPT("0",5)),2)+1)),INDEX(idxSatuSampaiDuaPuluh,--LEFT(RIGHT('Kuitansi (terbilang)'!XFD1,5),1)+1)&amp;" puluh "&amp;INDEX(idxSatuSampaiDuaPuluh,--LEFT(RIGHT('Kuitansi (terbilang)'!XFD1,4),1)+1))&amp;IF(OR(LEN('Kuitansi (terbilang)'!XFD1)&lt;=3,--LEFT(TEXT(RIGHT('Kuitansi (terbilang)'!XFD1,6),REPT("0",6)),3)={0;1}),""," ribu")</definedName>
    <definedName name="ribu4">" "&amp;INDEX(idxRatusan,--LEFT(TEXT(RIGHT('Kuitansi (terbilang)'!XFD1,6),REPT("0",6)),1)+1)&amp;" "&amp;IF((--MID(TEXT(RIGHT('Kuitansi (terbilang)'!XFD1,6),REPT("0",6)),2,2)+1)&lt;=20,IF(--LEFT(TEXT(RIGHT('Kuitansi (terbilang)'!XFD1,6),REPT("0",6)),3)=1," seribu / ",INDEX(idxSatuSampaiDuaPuluh,--LEFT(TEXT(RIGHT('Kuitansi (terbilang)'!XFD1,5),REPT("0",5)),2)+1)),INDEX(idxSatuSampaiDuaPuluh,--LEFT(RIGHT('Kuitansi (terbilang)'!XFD1,5),1)+1)&amp;" puluh "&amp;INDEX(idxSatuSampaiDuaPuluh,--LEFT(RIGHT('Kuitansi (terbilang)'!XFD1,4),1)+1))&amp;IF(OR(LEN('Kuitansi (terbilang)'!XFD1)&lt;=3,--LEFT(TEXT(RIGHT('Kuitansi (terbilang)'!XFD1,6),REPT("0",6)),3)={0;1}),""," ribu / ")</definedName>
    <definedName name="terbilang">IF(nilai=0,"nol",IF(TYPE(nilai)=1,IF(MOD(nilai,INT(nilai))=0,TRIM(milyar&amp;juta&amp;ribu&amp;ratus),"ANGKA HARUS BILANGAN BULAT!"),"DATA TIDAK BOLEH BERTIPE TEKS!"))</definedName>
    <definedName name="terbilang2">TRIM(IF((MID(trbl2,LEN(trbl2),1))="/",LEFT(trbl2,LEN(trbl2)-1),trbl2))</definedName>
    <definedName name="terbilang3">IF('Kuitansi (terbilang)'!XFD1=0,"nol",IF(TYPE('Kuitansi (terbilang)'!XFD1)=1,IF(MOD('Kuitansi (terbilang)'!XFD1,INT('Kuitansi (terbilang)'!XFD1))=0,TRIM(milyar3&amp;juta3&amp;ribu3&amp;ratus3),"ANGKA HARUS BILANGAN BULAT!"),"DATA TIDAK BOLEH BERTIPE TEKS!"))</definedName>
    <definedName name="terbilang4">TRIM(IF((MID(trbl4,LEN(trbl4),1))="/",LEFT(trbl4,LEN(trbl4)-1),trbl4))</definedName>
    <definedName name="trbl2">IF(nilai=0,"nol",IF(TYPE(nilai)=1,IF(MOD(nilai,INT(nilai))=0,TRIM(milyar2&amp;juta2&amp;ribu2&amp;ratus2),"ANGKA HARUS BILANGAN BULAT!"),"DATA TIDAK BOLEH BERTIPE TEKS!"))</definedName>
    <definedName name="trbl4">IF('Kuitansi (terbilang)'!XFD1=0,"nol",IF(TYPE('Kuitansi (terbilang)'!XFD1)=1,IF(MOD('Kuitansi (terbilang)'!XFD1,INT('Kuitansi (terbilang)'!XFD1))=0,TRIM(milyar4&amp;juta4&amp;ribu4&amp;ratus4),"ANGKA HARUS BILANGAN BULAT!"),"DATA TIDAK BOLEH BERTIPE TEKS!"))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2" l="1"/>
  <c r="C12" i="2" l="1"/>
  <c r="D12" i="2"/>
  <c r="F15" i="2"/>
  <c r="F14" i="2"/>
  <c r="F13" i="2"/>
  <c r="E12" i="2"/>
  <c r="C13" i="2" l="1"/>
  <c r="F16" i="2"/>
  <c r="F17" i="2" s="1"/>
  <c r="D14" i="2"/>
  <c r="D15" i="2"/>
  <c r="C14" i="2"/>
  <c r="C15" i="2"/>
  <c r="D13" i="2"/>
  <c r="E14" i="2"/>
  <c r="E13" i="2"/>
  <c r="E15" i="2"/>
  <c r="D16" i="2" l="1"/>
  <c r="D17" i="2" s="1"/>
  <c r="C16" i="2"/>
  <c r="C17" i="2" s="1"/>
  <c r="E16" i="2"/>
  <c r="E17" i="2" s="1"/>
  <c r="C4" i="2" l="1"/>
  <c r="Q11" i="1" s="1"/>
</calcChain>
</file>

<file path=xl/sharedStrings.xml><?xml version="1.0" encoding="utf-8"?>
<sst xmlns="http://schemas.openxmlformats.org/spreadsheetml/2006/main" count="80" uniqueCount="77">
  <si>
    <t>NO.</t>
  </si>
  <si>
    <t>KWITANSI</t>
  </si>
  <si>
    <t>Telah terima dari</t>
  </si>
  <si>
    <t>:</t>
  </si>
  <si>
    <t>Uang sejumlah</t>
  </si>
  <si>
    <t>Untuk Pembayaran</t>
  </si>
  <si>
    <t>Rp</t>
  </si>
  <si>
    <t>(</t>
  </si>
  <si>
    <t>)</t>
  </si>
  <si>
    <t>RUMUS TERBILANG TANPA MACRO BY EXCELKU.COM</t>
  </si>
  <si>
    <t>Nilai</t>
  </si>
  <si>
    <t>Terbilang</t>
  </si>
  <si>
    <t xml:space="preserve"> </t>
  </si>
  <si>
    <t>Milyar</t>
  </si>
  <si>
    <t>Jutaan</t>
  </si>
  <si>
    <t>Ratusan Ribu
s.d. Ribuan</t>
  </si>
  <si>
    <t>Ratusan 
s.d. Satuan</t>
  </si>
  <si>
    <t>Posisi</t>
  </si>
  <si>
    <t>Digit</t>
  </si>
  <si>
    <t>NILAI</t>
  </si>
  <si>
    <t>Ratusan</t>
  </si>
  <si>
    <t>Puluhan</t>
  </si>
  <si>
    <t>Belasan &amp; Satuan</t>
  </si>
  <si>
    <t>Tahap 1</t>
  </si>
  <si>
    <t>Tahap 2</t>
  </si>
  <si>
    <t xml:space="preserve">Angka        </t>
  </si>
  <si>
    <t>satu</t>
  </si>
  <si>
    <t>dua</t>
  </si>
  <si>
    <t>tiga</t>
  </si>
  <si>
    <t>empat</t>
  </si>
  <si>
    <t>lima</t>
  </si>
  <si>
    <t>enam</t>
  </si>
  <si>
    <t>tujuh</t>
  </si>
  <si>
    <t>delapan</t>
  </si>
  <si>
    <t>sembilan</t>
  </si>
  <si>
    <t>sepuluh</t>
  </si>
  <si>
    <t>sebelas</t>
  </si>
  <si>
    <t>dua belas</t>
  </si>
  <si>
    <t>tiga belas</t>
  </si>
  <si>
    <t>empat belas</t>
  </si>
  <si>
    <t>lima belas</t>
  </si>
  <si>
    <t>enam belas</t>
  </si>
  <si>
    <t>tujuh belas</t>
  </si>
  <si>
    <t>delapan belas</t>
  </si>
  <si>
    <t>sembilan belas</t>
  </si>
  <si>
    <t>EXCELKU.COM</t>
  </si>
  <si>
    <t>Junaidi</t>
  </si>
  <si>
    <t>Customers</t>
  </si>
  <si>
    <t>Commercial Invoice</t>
  </si>
  <si>
    <t>Company Name</t>
  </si>
  <si>
    <t>Contact Name</t>
  </si>
  <si>
    <t>Address</t>
  </si>
  <si>
    <t>Address 2</t>
  </si>
  <si>
    <t>City</t>
  </si>
  <si>
    <t>State</t>
  </si>
  <si>
    <t>ZIP Code</t>
  </si>
  <si>
    <t>Phone</t>
  </si>
  <si>
    <t>Email</t>
  </si>
  <si>
    <t>Fax</t>
  </si>
  <si>
    <t>PT. GLOBAL PRIMA SARANA</t>
  </si>
  <si>
    <t>HENRY ONG</t>
  </si>
  <si>
    <t>JL. KARANGANYAR RAYA</t>
  </si>
  <si>
    <t>N0. 12</t>
  </si>
  <si>
    <t>JAKARTA PUSAT</t>
  </si>
  <si>
    <t>DKI JAKARTA</t>
  </si>
  <si>
    <t>-</t>
  </si>
  <si>
    <t>021-62309333</t>
  </si>
  <si>
    <t>henry_ong18@yahoo.com</t>
  </si>
  <si>
    <t>ABC</t>
  </si>
  <si>
    <t>NOTE : Pembayaran dianggap sah apabila telah diterim dan cek/bg telah dicairkan</t>
  </si>
  <si>
    <t>DIREKTUR</t>
  </si>
  <si>
    <t>PT. ANUGERAH BUANA SRIWIJAYA</t>
  </si>
  <si>
    <t>JALAN BETAWI RAYA GANG. SEPAKAT NO. 1328 KEL. LEBUNG GAJAH KEC. SEMATANG BORANG, PALEMBANG</t>
  </si>
  <si>
    <t>OPERASI DAN PEMELIHARAAN SUMBER DAYA AIR SUMATERA VIII</t>
  </si>
  <si>
    <t xml:space="preserve">HSD SOLAR 5.000 LITER; INV : 022/ABS/INV/X/2023 </t>
  </si>
  <si>
    <t xml:space="preserve">                                          (SPK : SA.05.02/OP.SDA.III/Sat.OP/SP/35/2023)</t>
  </si>
  <si>
    <t>Palembang, 01 Oktober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</si>
</sst>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[&lt;=9999999]###\-####;###\-###\-####"/>
    <numFmt numFmtId="167" formatCode="0;0;;@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33"/>
      <color indexed="8"/>
      <name val="Georgia"/>
      <family val="1"/>
    </font>
    <font>
      <b/>
      <sz val="33"/>
      <color indexed="8"/>
      <name val="Courier New"/>
      <family val="3"/>
    </font>
    <font>
      <b/>
      <sz val="25"/>
      <color indexed="8"/>
      <name val="Georgia"/>
      <family val="1"/>
    </font>
    <font>
      <b/>
      <sz val="18"/>
      <color indexed="8"/>
      <name val="Georgia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Georgia"/>
      <family val="1"/>
    </font>
    <font>
      <b/>
      <sz val="18"/>
      <color theme="3"/>
      <name val="Calibri Light"/>
      <family val="2"/>
      <charset val="1"/>
      <scheme val="major"/>
    </font>
    <font>
      <b/>
      <sz val="28"/>
      <color theme="3"/>
      <name val="Calibri Light"/>
      <family val="2"/>
      <scheme val="major"/>
    </font>
    <font>
      <sz val="11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0"/>
      <color theme="0"/>
      <name val="Arial Black"/>
      <family val="2"/>
    </font>
    <font>
      <b/>
      <u/>
      <sz val="42"/>
      <color indexed="8"/>
      <name val="Georgia"/>
      <family val="1"/>
    </font>
    <font>
      <b/>
      <sz val="21"/>
      <color indexed="8"/>
      <name val="Georgia"/>
      <family val="1"/>
    </font>
    <font>
      <b/>
      <sz val="16"/>
      <color indexed="8"/>
      <name val="Georgia"/>
      <family val="1"/>
    </font>
    <font>
      <b/>
      <sz val="15"/>
      <color theme="0"/>
      <name val="Georgia"/>
      <family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002060"/>
      </left>
      <right style="thin">
        <color theme="4"/>
      </right>
      <top style="thick">
        <color rgb="FF002060"/>
      </top>
      <bottom style="thick">
        <color rgb="FF002060"/>
      </bottom>
      <diagonal/>
    </border>
    <border>
      <left style="thin">
        <color theme="4"/>
      </left>
      <right style="thin">
        <color theme="4"/>
      </right>
      <top style="thick">
        <color rgb="FF002060"/>
      </top>
      <bottom style="thick">
        <color rgb="FF002060"/>
      </bottom>
      <diagonal/>
    </border>
    <border>
      <left style="thin">
        <color theme="4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theme="0" tint="-0.499984740745262"/>
      </left>
      <right style="thin">
        <color theme="4"/>
      </right>
      <top style="thick">
        <color rgb="FF002060"/>
      </top>
      <bottom style="thick">
        <color theme="0" tint="-0.499984740745262"/>
      </bottom>
      <diagonal/>
    </border>
    <border>
      <left style="thin">
        <color theme="4"/>
      </left>
      <right style="thin">
        <color theme="4"/>
      </right>
      <top style="thick">
        <color rgb="FF002060"/>
      </top>
      <bottom style="thick">
        <color theme="0" tint="-0.499984740745262"/>
      </bottom>
      <diagonal/>
    </border>
    <border>
      <left style="thin">
        <color theme="4"/>
      </left>
      <right style="thick">
        <color theme="0" tint="-0.499984740745262"/>
      </right>
      <top style="thick">
        <color rgb="FF002060"/>
      </top>
      <bottom style="thick">
        <color theme="0" tint="-0.499984740745262"/>
      </bottom>
      <diagonal/>
    </border>
    <border>
      <left style="thick">
        <color theme="0" tint="-0.34998626667073579"/>
      </left>
      <right style="thin">
        <color theme="4"/>
      </right>
      <top style="thick">
        <color theme="0" tint="-0.499984740745262"/>
      </top>
      <bottom style="thick">
        <color theme="0" tint="-0.34998626667073579"/>
      </bottom>
      <diagonal/>
    </border>
    <border>
      <left style="thin">
        <color theme="4"/>
      </left>
      <right style="thin">
        <color theme="4"/>
      </right>
      <top style="thick">
        <color theme="0" tint="-0.499984740745262"/>
      </top>
      <bottom style="thick">
        <color theme="0" tint="-0.34998626667073579"/>
      </bottom>
      <diagonal/>
    </border>
    <border>
      <left style="thin">
        <color theme="4"/>
      </left>
      <right style="thick">
        <color theme="0" tint="-0.34998626667073579"/>
      </right>
      <top style="thick">
        <color theme="0" tint="-0.499984740745262"/>
      </top>
      <bottom style="thick">
        <color theme="0" tint="-0.34998626667073579"/>
      </bottom>
      <diagonal/>
    </border>
    <border>
      <left style="thick">
        <color rgb="FFFFFF00"/>
      </left>
      <right style="thin">
        <color theme="4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n">
        <color theme="4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ck">
        <color rgb="FFFFFF00"/>
      </right>
      <top style="thick">
        <color theme="0" tint="-0.34998626667073579"/>
      </top>
      <bottom style="thick">
        <color rgb="FFFFFF00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9" fillId="0" borderId="0" applyNumberFormat="0" applyFill="0" applyBorder="0">
      <alignment horizontal="center" vertical="center" wrapText="1"/>
    </xf>
    <xf numFmtId="167" fontId="2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 wrapText="1"/>
    </xf>
    <xf numFmtId="166" fontId="21" fillId="0" borderId="0" applyNumberFormat="0">
      <alignment horizontal="left" vertical="top" wrapText="1"/>
    </xf>
  </cellStyleXfs>
  <cellXfs count="82">
    <xf numFmtId="0" fontId="0" fillId="0" borderId="0" xfId="0"/>
    <xf numFmtId="0" fontId="0" fillId="0" borderId="0" xfId="0" applyFont="1"/>
    <xf numFmtId="165" fontId="0" fillId="0" borderId="0" xfId="2" applyNumberFormat="1" applyFont="1"/>
    <xf numFmtId="0" fontId="11" fillId="4" borderId="0" xfId="0" applyFont="1" applyFill="1" applyAlignment="1">
      <alignment vertical="center"/>
    </xf>
    <xf numFmtId="165" fontId="11" fillId="5" borderId="0" xfId="2" applyNumberFormat="1" applyFont="1" applyFill="1" applyAlignment="1">
      <alignment vertical="center"/>
    </xf>
    <xf numFmtId="165" fontId="12" fillId="0" borderId="0" xfId="2" applyNumberFormat="1" applyFont="1"/>
    <xf numFmtId="165" fontId="15" fillId="9" borderId="11" xfId="2" applyNumberFormat="1" applyFont="1" applyFill="1" applyBorder="1" applyAlignment="1">
      <alignment horizontal="right"/>
    </xf>
    <xf numFmtId="165" fontId="15" fillId="9" borderId="12" xfId="2" applyNumberFormat="1" applyFont="1" applyFill="1" applyBorder="1" applyAlignment="1">
      <alignment horizontal="right"/>
    </xf>
    <xf numFmtId="165" fontId="15" fillId="9" borderId="12" xfId="2" applyNumberFormat="1" applyFont="1" applyFill="1" applyBorder="1" applyAlignment="1">
      <alignment horizontal="right" wrapText="1"/>
    </xf>
    <xf numFmtId="165" fontId="15" fillId="9" borderId="13" xfId="2" applyNumberFormat="1" applyFont="1" applyFill="1" applyBorder="1" applyAlignment="1">
      <alignment horizontal="right" wrapText="1"/>
    </xf>
    <xf numFmtId="165" fontId="7" fillId="10" borderId="14" xfId="2" applyNumberFormat="1" applyFont="1" applyFill="1" applyBorder="1"/>
    <xf numFmtId="165" fontId="9" fillId="10" borderId="15" xfId="2" applyNumberFormat="1" applyFont="1" applyFill="1" applyBorder="1"/>
    <xf numFmtId="165" fontId="9" fillId="10" borderId="16" xfId="2" applyNumberFormat="1" applyFont="1" applyFill="1" applyBorder="1"/>
    <xf numFmtId="165" fontId="7" fillId="11" borderId="17" xfId="2" applyNumberFormat="1" applyFont="1" applyFill="1" applyBorder="1"/>
    <xf numFmtId="165" fontId="9" fillId="11" borderId="18" xfId="2" applyNumberFormat="1" applyFont="1" applyFill="1" applyBorder="1"/>
    <xf numFmtId="165" fontId="9" fillId="11" borderId="19" xfId="2" applyNumberFormat="1" applyFont="1" applyFill="1" applyBorder="1"/>
    <xf numFmtId="165" fontId="16" fillId="5" borderId="20" xfId="2" applyNumberFormat="1" applyFont="1" applyFill="1" applyBorder="1"/>
    <xf numFmtId="165" fontId="16" fillId="5" borderId="21" xfId="2" applyNumberFormat="1" applyFont="1" applyFill="1" applyBorder="1"/>
    <xf numFmtId="165" fontId="16" fillId="5" borderId="22" xfId="2" applyNumberFormat="1" applyFont="1" applyFill="1" applyBorder="1"/>
    <xf numFmtId="165" fontId="8" fillId="0" borderId="23" xfId="2" applyNumberFormat="1" applyFont="1" applyBorder="1"/>
    <xf numFmtId="165" fontId="0" fillId="0" borderId="23" xfId="2" applyNumberFormat="1" applyFont="1" applyBorder="1"/>
    <xf numFmtId="165" fontId="8" fillId="0" borderId="24" xfId="2" applyNumberFormat="1" applyFont="1" applyBorder="1"/>
    <xf numFmtId="165" fontId="0" fillId="0" borderId="24" xfId="2" applyNumberFormat="1" applyFont="1" applyBorder="1"/>
    <xf numFmtId="165" fontId="8" fillId="12" borderId="24" xfId="2" applyNumberFormat="1" applyFont="1" applyFill="1" applyBorder="1" applyAlignment="1">
      <alignment horizontal="left" vertical="top"/>
    </xf>
    <xf numFmtId="165" fontId="0" fillId="12" borderId="24" xfId="2" applyNumberFormat="1" applyFont="1" applyFill="1" applyBorder="1" applyAlignment="1">
      <alignment horizontal="right" vertical="top" wrapText="1"/>
    </xf>
    <xf numFmtId="165" fontId="8" fillId="13" borderId="24" xfId="2" applyNumberFormat="1" applyFont="1" applyFill="1" applyBorder="1" applyAlignment="1">
      <alignment horizontal="left" vertical="top"/>
    </xf>
    <xf numFmtId="165" fontId="0" fillId="13" borderId="24" xfId="2" applyNumberFormat="1" applyFont="1" applyFill="1" applyBorder="1" applyAlignment="1">
      <alignment horizontal="right" vertical="top" wrapText="1"/>
    </xf>
    <xf numFmtId="0" fontId="8" fillId="0" borderId="0" xfId="0" applyFont="1" applyAlignment="1">
      <alignment horizontal="right"/>
    </xf>
    <xf numFmtId="165" fontId="8" fillId="0" borderId="0" xfId="2" applyNumberFormat="1" applyFont="1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2" fontId="19" fillId="0" borderId="0" xfId="3" applyNumberFormat="1" applyFont="1" applyAlignment="1">
      <alignment horizontal="left" vertical="center"/>
    </xf>
    <xf numFmtId="0" fontId="9" fillId="0" borderId="0" xfId="4" quotePrefix="1">
      <alignment horizontal="center" vertical="center" wrapText="1"/>
    </xf>
    <xf numFmtId="0" fontId="0" fillId="0" borderId="0" xfId="0" applyFill="1" applyBorder="1" applyAlignment="1" applyProtection="1">
      <alignment horizontal="left" vertical="center" wrapText="1"/>
    </xf>
    <xf numFmtId="0" fontId="0" fillId="0" borderId="0" xfId="0" applyFill="1" applyBorder="1" applyAlignment="1" applyProtection="1">
      <alignment horizontal="right" vertical="center" indent="1"/>
    </xf>
    <xf numFmtId="166" fontId="20" fillId="0" borderId="0" xfId="5" applyNumberFormat="1" applyFill="1" applyBorder="1" applyAlignment="1" applyProtection="1">
      <alignment horizontal="left" vertical="center"/>
    </xf>
    <xf numFmtId="0" fontId="20" fillId="0" borderId="0" xfId="6" applyFill="1" applyBorder="1" applyProtection="1">
      <alignment vertical="center" wrapText="1"/>
    </xf>
    <xf numFmtId="0" fontId="0" fillId="0" borderId="0" xfId="0" applyFont="1" applyFill="1" applyBorder="1" applyAlignment="1" applyProtection="1">
      <alignment horizontal="left" vertical="center" wrapText="1"/>
    </xf>
    <xf numFmtId="0" fontId="0" fillId="0" borderId="0" xfId="0" applyFont="1" applyFill="1" applyBorder="1" applyAlignment="1" applyProtection="1">
      <alignment horizontal="right" vertical="center" indent="1"/>
    </xf>
    <xf numFmtId="0" fontId="2" fillId="0" borderId="0" xfId="0" applyFont="1" applyBorder="1" applyAlignment="1">
      <alignment horizontal="center" vertical="top"/>
    </xf>
    <xf numFmtId="0" fontId="17" fillId="0" borderId="7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2" fillId="0" borderId="5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center" vertical="center"/>
    </xf>
    <xf numFmtId="0" fontId="23" fillId="0" borderId="6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0" fontId="24" fillId="0" borderId="8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164" fontId="5" fillId="0" borderId="0" xfId="1" applyFont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5" fillId="0" borderId="25" xfId="0" applyFont="1" applyBorder="1" applyAlignment="1">
      <alignment horizontal="center" vertical="center"/>
    </xf>
    <xf numFmtId="0" fontId="26" fillId="9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5" fontId="4" fillId="2" borderId="2" xfId="1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13" fillId="7" borderId="0" xfId="0" applyFont="1" applyFill="1" applyAlignment="1">
      <alignment horizontal="left" vertical="center"/>
    </xf>
    <xf numFmtId="0" fontId="14" fillId="8" borderId="0" xfId="2" applyNumberFormat="1" applyFont="1" applyFill="1" applyAlignment="1">
      <alignment horizontal="left" vertical="center" wrapText="1"/>
    </xf>
  </cellXfs>
  <cellStyles count="8">
    <cellStyle name="Comma" xfId="1" builtinId="3"/>
    <cellStyle name="Comma 2" xfId="2"/>
    <cellStyle name="Hyperlink" xfId="6" builtinId="8"/>
    <cellStyle name="Invoice details" xfId="7"/>
    <cellStyle name="Normal" xfId="0" builtinId="0"/>
    <cellStyle name="Phone" xfId="5"/>
    <cellStyle name="Title" xfId="3" builtinId="15"/>
    <cellStyle name="znavigation cell" xfId="4"/>
  </cellStyles>
  <dxfs count="10">
    <dxf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* #,##0_);_(* \(#,##0\);_(* &quot;-&quot;??_);_(@_)"/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fgColor theme="4" tint="0.79995117038483843"/>
          <bgColor theme="2"/>
        </patternFill>
      </fill>
    </dxf>
    <dxf>
      <fill>
        <patternFill patternType="solid">
          <fgColor theme="4" tint="0.79995117038483843"/>
          <bgColor theme="2"/>
        </patternFill>
      </fill>
    </dxf>
    <dxf>
      <font>
        <b/>
        <i val="0"/>
      </font>
      <border>
        <bottom style="double">
          <color theme="4" tint="-0.24994659260841701"/>
        </bottom>
      </border>
    </dxf>
    <dxf>
      <font>
        <b/>
        <i val="0"/>
        <color theme="3"/>
      </font>
      <fill>
        <patternFill patternType="none">
          <bgColor auto="1"/>
        </patternFill>
      </fill>
      <border>
        <left/>
        <right/>
        <top style="thick">
          <color theme="4" tint="-0.24994659260841701"/>
        </top>
        <bottom style="thick">
          <color theme="4" tint="-0.24994659260841701"/>
        </bottom>
        <vertical/>
        <horizontal/>
      </border>
    </dxf>
    <dxf>
      <border diagonalUp="0" diagonalDown="0">
        <left/>
        <right/>
        <top/>
        <bottom style="thick">
          <color theme="4" tint="-0.24994659260841701"/>
        </bottom>
        <vertical/>
        <horizontal/>
      </border>
    </dxf>
  </dxfs>
  <tableStyles count="1" defaultTableStyle="TableStyleMedium2" defaultPivotStyle="PivotStyleLight16">
    <tableStyle name="Commercial Invoice" pivot="0" count="5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Commercial Invoic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38100</xdr:rowOff>
    </xdr:from>
    <xdr:to>
      <xdr:col>21</xdr:col>
      <xdr:colOff>76200</xdr:colOff>
      <xdr:row>4</xdr:row>
      <xdr:rowOff>317500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FA780179-32A5-461C-A484-0B458B10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8100"/>
          <a:ext cx="2971800" cy="185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0</xdr:row>
      <xdr:rowOff>66673</xdr:rowOff>
    </xdr:from>
    <xdr:to>
      <xdr:col>12</xdr:col>
      <xdr:colOff>1464183</xdr:colOff>
      <xdr:row>0</xdr:row>
      <xdr:rowOff>478153</xdr:rowOff>
    </xdr:to>
    <xdr:sp macro="" textlink="">
      <xdr:nvSpPr>
        <xdr:cNvPr id="2" name="Arrow: Pentagon 1" descr="Select to navigate to Commercial Invoice worksheet">
          <a:hlinkClick xmlns:r="http://schemas.openxmlformats.org/officeDocument/2006/relationships" r:id="rId1" tooltip="Select to navigate to Commercial Invoice worksheet"/>
          <a:extLst>
            <a:ext uri="{FF2B5EF4-FFF2-40B4-BE49-F238E27FC236}">
              <a16:creationId xmlns:a16="http://schemas.microsoft.com/office/drawing/2014/main" xmlns="" id="{A369B219-35C8-4A3B-AB52-F207ECE6F82D}"/>
            </a:ext>
          </a:extLst>
        </xdr:cNvPr>
        <xdr:cNvSpPr/>
      </xdr:nvSpPr>
      <xdr:spPr>
        <a:xfrm flipH="1">
          <a:off x="13030200" y="66673"/>
          <a:ext cx="1435608" cy="411480"/>
        </a:xfrm>
        <a:prstGeom prst="homePlate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0">
              <a:solidFill>
                <a:schemeClr val="bg1"/>
              </a:solidFill>
            </a:rPr>
            <a:t>Commercial</a:t>
          </a:r>
          <a:r>
            <a:rPr lang="en-US" sz="1100" b="0" baseline="0">
              <a:solidFill>
                <a:schemeClr val="bg1"/>
              </a:solidFill>
            </a:rPr>
            <a:t> Invoice</a:t>
          </a:r>
          <a:endParaRPr lang="en-US" sz="1100" b="0">
            <a:solidFill>
              <a:schemeClr val="bg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Excelku.com%20-%20Rumus%20Terbilang%20Tanpa%20Mac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Rumus Terbilang"/>
    </sheetNames>
    <sheetDataSet>
      <sheetData sheetId="0">
        <row r="37">
          <cell r="E37">
            <v>49970000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blTerbilang" displayName="tblTerbilang" ref="B24:C44" totalsRowShown="0" headerRowDxfId="4" dataDxfId="3">
  <autoFilter ref="B24:C44"/>
  <tableColumns count="2">
    <tableColumn id="1" name="Angka        " dataDxfId="2"/>
    <tableColumn id="2" name="Terbilang" dataDxfId="1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ustomerList" displayName="CustomerList" ref="B2:K5">
  <autoFilter ref="B2:K5"/>
  <tableColumns count="10">
    <tableColumn id="2" name="Company Name"/>
    <tableColumn id="3" name="Contact Name"/>
    <tableColumn id="4" name="Address"/>
    <tableColumn id="1" name="Address 2"/>
    <tableColumn id="5" name="City"/>
    <tableColumn id="6" name="State"/>
    <tableColumn id="7" name="ZIP Code" dataDxfId="0"/>
    <tableColumn id="8" name="Phone" dataCellStyle="Phone"/>
    <tableColumn id="10" name="Email"/>
    <tableColumn id="11" name="Fax" dataCellStyle="Phone"/>
  </tableColumns>
  <tableStyleInfo name="Commercial Invoic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mailto:henry_ong1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2"/>
    <pageSetUpPr fitToPage="1"/>
  </sheetPr>
  <dimension ref="A1:BY28"/>
  <sheetViews>
    <sheetView tabSelected="1" zoomScale="50" zoomScaleNormal="50" zoomScaleSheetLayoutView="55" workbookViewId="0">
      <selection activeCell="AD25" sqref="AD25"/>
    </sheetView>
  </sheetViews>
  <sheetFormatPr defaultColWidth="0" defaultRowHeight="30.75" customHeight="1" zeroHeight="1" x14ac:dyDescent="0.35"/>
  <cols>
    <col min="1" max="1" width="0.1796875" style="29" customWidth="1"/>
    <col min="2" max="44" width="2.7265625" style="29" customWidth="1"/>
    <col min="45" max="45" width="10.7265625" style="29" customWidth="1"/>
    <col min="46" max="49" width="2.7265625" style="29" customWidth="1"/>
    <col min="50" max="50" width="3.54296875" style="29" customWidth="1"/>
    <col min="51" max="51" width="2.7265625" style="29" customWidth="1"/>
    <col min="52" max="52" width="1.7265625" style="29" customWidth="1"/>
    <col min="53" max="53" width="5.453125" style="29" customWidth="1"/>
    <col min="54" max="54" width="6.26953125" style="29" customWidth="1"/>
    <col min="55" max="55" width="4.26953125" style="29" customWidth="1"/>
    <col min="56" max="56" width="3.453125" style="29" customWidth="1"/>
    <col min="57" max="58" width="2.7265625" style="29" customWidth="1"/>
    <col min="59" max="59" width="3.81640625" style="29" customWidth="1"/>
    <col min="60" max="71" width="2.7265625" style="29" customWidth="1"/>
    <col min="72" max="72" width="5.81640625" style="29" customWidth="1"/>
    <col min="73" max="75" width="2.7265625" style="29" customWidth="1"/>
    <col min="76" max="77" width="2.7265625" style="29" hidden="1" customWidth="1"/>
    <col min="78" max="16384" width="0" style="29" hidden="1"/>
  </cols>
  <sheetData>
    <row r="1" spans="1:74" ht="30.75" customHeight="1" thickTop="1" x14ac:dyDescent="0.35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8" t="s">
        <v>71</v>
      </c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9"/>
    </row>
    <row r="2" spans="1:74" ht="30.75" customHeight="1" x14ac:dyDescent="0.3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60"/>
      <c r="BD2" s="60"/>
      <c r="BE2" s="60"/>
      <c r="BF2" s="60"/>
      <c r="BG2" s="60"/>
      <c r="BH2" s="60"/>
      <c r="BI2" s="60"/>
      <c r="BJ2" s="60"/>
      <c r="BK2" s="60"/>
      <c r="BL2" s="60"/>
      <c r="BM2" s="60"/>
      <c r="BN2" s="60"/>
      <c r="BO2" s="60"/>
      <c r="BP2" s="60"/>
      <c r="BQ2" s="60"/>
      <c r="BR2" s="60"/>
      <c r="BS2" s="60"/>
      <c r="BT2" s="60"/>
      <c r="BU2" s="60"/>
      <c r="BV2" s="61"/>
    </row>
    <row r="3" spans="1:74" ht="30.75" customHeight="1" x14ac:dyDescent="0.35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62" t="s">
        <v>72</v>
      </c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4"/>
    </row>
    <row r="4" spans="1:74" ht="30.75" customHeight="1" x14ac:dyDescent="0.35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4"/>
    </row>
    <row r="5" spans="1:74" ht="30.75" customHeight="1" thickBot="1" x14ac:dyDescent="0.4">
      <c r="A5" s="56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6"/>
    </row>
    <row r="6" spans="1:74" ht="15" thickTop="1" x14ac:dyDescent="0.35">
      <c r="A6" s="40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2"/>
    </row>
    <row r="7" spans="1:74" ht="30.75" customHeight="1" x14ac:dyDescent="0.45">
      <c r="A7" s="40"/>
      <c r="B7" s="41"/>
      <c r="C7" s="67" t="s">
        <v>0</v>
      </c>
      <c r="D7" s="67"/>
      <c r="E7" s="67"/>
      <c r="F7" s="68">
        <v>18</v>
      </c>
      <c r="G7" s="68"/>
      <c r="H7" s="68"/>
      <c r="I7" s="68"/>
      <c r="J7" s="68"/>
      <c r="K7" s="68"/>
      <c r="L7" s="68"/>
      <c r="M7" s="68"/>
      <c r="N7" s="68"/>
      <c r="O7" s="68"/>
      <c r="P7" s="43"/>
      <c r="Q7" s="69" t="s">
        <v>1</v>
      </c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39"/>
      <c r="BV7" s="42"/>
    </row>
    <row r="8" spans="1:74" ht="30.75" customHeight="1" x14ac:dyDescent="0.35">
      <c r="A8" s="40"/>
      <c r="B8" s="41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39"/>
      <c r="BV8" s="42"/>
    </row>
    <row r="9" spans="1:74" ht="30.75" customHeight="1" x14ac:dyDescent="0.35">
      <c r="A9" s="40"/>
      <c r="B9" s="41"/>
      <c r="C9" s="43" t="s">
        <v>2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 t="s">
        <v>3</v>
      </c>
      <c r="Q9" s="51" t="s">
        <v>73</v>
      </c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43"/>
      <c r="BV9" s="42"/>
    </row>
    <row r="10" spans="1:74" ht="12.75" customHeight="1" x14ac:dyDescent="0.35">
      <c r="A10" s="40"/>
      <c r="B10" s="41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2"/>
    </row>
    <row r="11" spans="1:74" ht="30.75" customHeight="1" x14ac:dyDescent="0.35">
      <c r="A11" s="40"/>
      <c r="B11" s="41"/>
      <c r="C11" s="74" t="s">
        <v>4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5" t="s">
        <v>3</v>
      </c>
      <c r="Q11" s="73" t="str">
        <f>"# "&amp;PROPER('Rumus Terbilang'!C4&amp;" rupiah")&amp;" #"</f>
        <v># Seratus Dua Puluh Enam Juta Tiga Ratus Tiga Belas Ribu Tujuh Ratus Lima Puluh Rupiah #</v>
      </c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  <c r="BU11" s="45"/>
      <c r="BV11" s="42"/>
    </row>
    <row r="12" spans="1:74" ht="32.25" customHeight="1" x14ac:dyDescent="0.35">
      <c r="A12" s="40"/>
      <c r="B12" s="41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5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45"/>
      <c r="BV12" s="42"/>
    </row>
    <row r="13" spans="1:74" ht="12" customHeight="1" x14ac:dyDescent="0.35">
      <c r="A13" s="40"/>
      <c r="B13" s="41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6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2"/>
    </row>
    <row r="14" spans="1:74" ht="30.75" customHeight="1" x14ac:dyDescent="0.35">
      <c r="A14" s="40"/>
      <c r="B14" s="41"/>
      <c r="C14" s="43" t="s">
        <v>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 t="s">
        <v>3</v>
      </c>
      <c r="Q14" s="51" t="s">
        <v>74</v>
      </c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46"/>
      <c r="BV14" s="42"/>
    </row>
    <row r="15" spans="1:74" ht="30.75" customHeight="1" x14ac:dyDescent="0.35">
      <c r="A15" s="40"/>
      <c r="B15" s="41"/>
      <c r="C15" s="74" t="s">
        <v>75</v>
      </c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46"/>
      <c r="BV15" s="42"/>
    </row>
    <row r="16" spans="1:74" ht="30.75" customHeight="1" x14ac:dyDescent="0.35">
      <c r="A16" s="40"/>
      <c r="B16" s="41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46"/>
      <c r="BV16" s="42"/>
    </row>
    <row r="17" spans="1:74" ht="30.75" customHeight="1" x14ac:dyDescent="0.35">
      <c r="A17" s="40"/>
      <c r="B17" s="41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46"/>
      <c r="BV17" s="42"/>
    </row>
    <row r="18" spans="1:74" ht="12.75" customHeight="1" x14ac:dyDescent="0.35">
      <c r="A18" s="40"/>
      <c r="B18" s="41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2"/>
    </row>
    <row r="19" spans="1:74" ht="12.75" customHeight="1" x14ac:dyDescent="0.35">
      <c r="A19" s="40"/>
      <c r="B19" s="41"/>
      <c r="C19" s="78" t="s">
        <v>69</v>
      </c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2"/>
    </row>
    <row r="20" spans="1:74" ht="30.75" customHeight="1" x14ac:dyDescent="0.35">
      <c r="A20" s="40"/>
      <c r="B20" s="41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41"/>
      <c r="AU20" s="41"/>
      <c r="AV20" s="41"/>
      <c r="AW20" s="72" t="s">
        <v>76</v>
      </c>
      <c r="AX20" s="72"/>
      <c r="AY20" s="72"/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72"/>
      <c r="BP20" s="72"/>
      <c r="BQ20" s="41"/>
      <c r="BR20" s="41"/>
      <c r="BS20" s="41"/>
      <c r="BT20" s="41"/>
      <c r="BU20" s="41"/>
      <c r="BV20" s="42"/>
    </row>
    <row r="21" spans="1:74" ht="31.5" customHeight="1" thickBot="1" x14ac:dyDescent="0.4">
      <c r="A21" s="40"/>
      <c r="B21" s="41"/>
      <c r="C21" s="43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2"/>
    </row>
    <row r="22" spans="1:74" ht="67.5" customHeight="1" thickBot="1" x14ac:dyDescent="0.4">
      <c r="A22" s="40"/>
      <c r="B22" s="41"/>
      <c r="C22" s="76" t="s">
        <v>6</v>
      </c>
      <c r="D22" s="76"/>
      <c r="E22" s="76"/>
      <c r="F22" s="76"/>
      <c r="G22" s="77">
        <v>142015000</v>
      </c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2"/>
    </row>
    <row r="23" spans="1:74" ht="30.75" customHeight="1" x14ac:dyDescent="0.3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BP23" s="41"/>
      <c r="BQ23" s="41"/>
      <c r="BR23" s="41"/>
      <c r="BS23" s="41"/>
      <c r="BT23" s="41"/>
      <c r="BU23" s="41"/>
      <c r="BV23" s="42"/>
    </row>
    <row r="24" spans="1:74" ht="30.75" customHeight="1" x14ac:dyDescent="0.3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BP24" s="41"/>
      <c r="BQ24" s="41"/>
      <c r="BR24" s="41"/>
      <c r="BS24" s="41"/>
      <c r="BT24" s="41"/>
      <c r="BU24" s="41"/>
      <c r="BV24" s="42"/>
    </row>
    <row r="25" spans="1:74" ht="30.75" customHeight="1" x14ac:dyDescent="0.3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7" t="s">
        <v>7</v>
      </c>
      <c r="AY25" s="72" t="s">
        <v>46</v>
      </c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47" t="s">
        <v>8</v>
      </c>
      <c r="BP25" s="41"/>
      <c r="BQ25" s="41"/>
      <c r="BR25" s="41"/>
      <c r="BS25" s="41"/>
      <c r="BT25" s="41"/>
      <c r="BU25" s="41"/>
      <c r="BV25" s="42"/>
    </row>
    <row r="26" spans="1:74" ht="30.75" customHeight="1" x14ac:dyDescent="0.35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70" t="s">
        <v>70</v>
      </c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41"/>
      <c r="BQ26" s="41"/>
      <c r="BR26" s="41"/>
      <c r="BS26" s="41"/>
      <c r="BT26" s="41"/>
      <c r="BU26" s="41"/>
      <c r="BV26" s="42"/>
    </row>
    <row r="27" spans="1:74" ht="32.25" customHeight="1" thickBot="1" x14ac:dyDescent="0.4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49"/>
      <c r="BT27" s="49"/>
      <c r="BU27" s="49"/>
      <c r="BV27" s="50"/>
    </row>
    <row r="28" spans="1:74" ht="30.75" customHeight="1" thickTop="1" x14ac:dyDescent="0.4">
      <c r="BN28" s="71" t="s">
        <v>45</v>
      </c>
      <c r="BO28" s="71"/>
      <c r="BP28" s="71"/>
      <c r="BQ28" s="71"/>
      <c r="BR28" s="71"/>
      <c r="BS28" s="71"/>
      <c r="BT28" s="71"/>
      <c r="BU28" s="71"/>
      <c r="BV28" s="71"/>
    </row>
  </sheetData>
  <mergeCells count="21">
    <mergeCell ref="Q14:BT14"/>
    <mergeCell ref="AX26:BO26"/>
    <mergeCell ref="BN28:BV28"/>
    <mergeCell ref="AY25:BN25"/>
    <mergeCell ref="Q11:BT12"/>
    <mergeCell ref="C15:BT15"/>
    <mergeCell ref="C16:BT16"/>
    <mergeCell ref="C17:BT17"/>
    <mergeCell ref="C22:F22"/>
    <mergeCell ref="G22:V22"/>
    <mergeCell ref="AW20:BP20"/>
    <mergeCell ref="C19:AS20"/>
    <mergeCell ref="C11:O12"/>
    <mergeCell ref="P11:P12"/>
    <mergeCell ref="Q9:BT9"/>
    <mergeCell ref="A1:Y5"/>
    <mergeCell ref="Z1:BV2"/>
    <mergeCell ref="Z3:BV5"/>
    <mergeCell ref="C7:E7"/>
    <mergeCell ref="F7:O7"/>
    <mergeCell ref="Q7:BT8"/>
  </mergeCells>
  <pageMargins left="0.31496062992125984" right="0.15748031496062992" top="0.35433070866141736" bottom="0.74803149606299213" header="0.31496062992125984" footer="0.31496062992125984"/>
  <pageSetup paperSize="9" scale="45" fitToHeight="0" orientation="portrait" horizontalDpi="12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4"/>
  <sheetViews>
    <sheetView showGridLines="0" showRowColHeaders="0" zoomScale="85" zoomScaleNormal="85" workbookViewId="0">
      <selection activeCell="C4" sqref="C4:F6"/>
    </sheetView>
  </sheetViews>
  <sheetFormatPr defaultColWidth="9.1796875" defaultRowHeight="14.5" zeroHeight="1" x14ac:dyDescent="0.35"/>
  <cols>
    <col min="1" max="1" width="9.1796875" style="1"/>
    <col min="2" max="2" width="24" style="1" bestFit="1" customWidth="1"/>
    <col min="3" max="6" width="24.1796875" style="2" customWidth="1"/>
    <col min="7" max="16384" width="9.1796875" style="1"/>
  </cols>
  <sheetData>
    <row r="1" spans="2:6" ht="27" x14ac:dyDescent="0.6">
      <c r="B1" s="79" t="s">
        <v>9</v>
      </c>
      <c r="C1" s="79"/>
      <c r="D1" s="79"/>
      <c r="E1" s="79"/>
      <c r="F1" s="79"/>
    </row>
    <row r="2" spans="2:6" x14ac:dyDescent="0.35"/>
    <row r="3" spans="2:6" ht="19.5" x14ac:dyDescent="0.35">
      <c r="B3" s="3" t="s">
        <v>10</v>
      </c>
      <c r="C3" s="4">
        <v>126313750</v>
      </c>
      <c r="D3" s="5"/>
      <c r="E3" s="5"/>
      <c r="F3" s="5"/>
    </row>
    <row r="4" spans="2:6" x14ac:dyDescent="0.35">
      <c r="B4" s="80" t="s">
        <v>11</v>
      </c>
      <c r="C4" s="81" t="str">
        <f>TRIM(C17&amp;" "&amp;D17&amp;" "&amp;E17&amp;" "&amp;F17)</f>
        <v>seratus dua puluh enam juta tiga ratus tiga belas ribu tujuh ratus lima puluh</v>
      </c>
      <c r="D4" s="81"/>
      <c r="E4" s="81"/>
      <c r="F4" s="81"/>
    </row>
    <row r="5" spans="2:6" x14ac:dyDescent="0.35">
      <c r="B5" s="80"/>
      <c r="C5" s="81"/>
      <c r="D5" s="81"/>
      <c r="E5" s="81"/>
      <c r="F5" s="81"/>
    </row>
    <row r="6" spans="2:6" x14ac:dyDescent="0.35">
      <c r="B6" s="80"/>
      <c r="C6" s="81"/>
      <c r="D6" s="81"/>
      <c r="E6" s="81"/>
      <c r="F6" s="81"/>
    </row>
    <row r="7" spans="2:6" x14ac:dyDescent="0.35"/>
    <row r="8" spans="2:6" ht="15" thickBot="1" x14ac:dyDescent="0.4"/>
    <row r="9" spans="2:6" ht="32" thickTop="1" thickBot="1" x14ac:dyDescent="0.4">
      <c r="B9" s="6" t="s">
        <v>12</v>
      </c>
      <c r="C9" s="7" t="s">
        <v>13</v>
      </c>
      <c r="D9" s="7" t="s">
        <v>14</v>
      </c>
      <c r="E9" s="8" t="s">
        <v>15</v>
      </c>
      <c r="F9" s="9" t="s">
        <v>16</v>
      </c>
    </row>
    <row r="10" spans="2:6" ht="15.5" thickTop="1" thickBot="1" x14ac:dyDescent="0.4">
      <c r="B10" s="10" t="s">
        <v>17</v>
      </c>
      <c r="C10" s="11">
        <v>1</v>
      </c>
      <c r="D10" s="11">
        <v>4</v>
      </c>
      <c r="E10" s="11">
        <v>7</v>
      </c>
      <c r="F10" s="12">
        <v>10</v>
      </c>
    </row>
    <row r="11" spans="2:6" ht="15.5" thickTop="1" thickBot="1" x14ac:dyDescent="0.4">
      <c r="B11" s="13" t="s">
        <v>18</v>
      </c>
      <c r="C11" s="14">
        <v>3</v>
      </c>
      <c r="D11" s="14">
        <v>3</v>
      </c>
      <c r="E11" s="14">
        <v>3</v>
      </c>
      <c r="F11" s="15">
        <v>3</v>
      </c>
    </row>
    <row r="12" spans="2:6" ht="15.5" thickTop="1" thickBot="1" x14ac:dyDescent="0.4">
      <c r="B12" s="16" t="s">
        <v>19</v>
      </c>
      <c r="C12" s="17">
        <f>--MID(TEXT(TRUNC(N($C$3),0),REPT(0,12)),C10,C11)</f>
        <v>0</v>
      </c>
      <c r="D12" s="17">
        <f t="shared" ref="D12:E12" si="0">--MID(TEXT(TRUNC(N($C$3),0),REPT(0,12)),D10,D11)</f>
        <v>126</v>
      </c>
      <c r="E12" s="17">
        <f t="shared" si="0"/>
        <v>313</v>
      </c>
      <c r="F12" s="18">
        <f>--MID(TEXT(TRUNC(N($C$3),0),REPT(0,12)),F10,F11)</f>
        <v>750</v>
      </c>
    </row>
    <row r="13" spans="2:6" ht="15" thickTop="1" x14ac:dyDescent="0.35">
      <c r="B13" s="19" t="s">
        <v>20</v>
      </c>
      <c r="C13" s="20">
        <f>N("Ambil angka Milyar")+--MID(TEXT(N(C$12),REPT(0,3)),1,1)</f>
        <v>0</v>
      </c>
      <c r="D13" s="20">
        <f>--MID(TEXT(N(D$12),REPT(0,3)),1,1)</f>
        <v>1</v>
      </c>
      <c r="E13" s="20">
        <f>--MID(TEXT(N(E$12),REPT(0,3)),1,1)</f>
        <v>3</v>
      </c>
      <c r="F13" s="20">
        <f>--MID(TEXT(N(F$12),REPT(0,3)),1,1)</f>
        <v>7</v>
      </c>
    </row>
    <row r="14" spans="2:6" x14ac:dyDescent="0.35">
      <c r="B14" s="21" t="s">
        <v>21</v>
      </c>
      <c r="C14" s="22">
        <f>N("Bila digit pertama angka puluhan &gt; 1 MAKA hasilkan 1 digit angka depannya BILA TIDAK hasilkan Nol")+IF(--MID(TEXT(N(C$12),REPT(0,3)),2,1)&gt;1,--MID(TEXT(N(C$12),REPT(0,3)),2,1),0)</f>
        <v>0</v>
      </c>
      <c r="D14" s="22">
        <f>N("Bila digit pertama angka puluhan &gt; 1 MAKA hasilkan 1 digit angka depannya BILA TIDAK hasilkan Nol")+IF(--MID(TEXT(N(D$12),REPT(0,3)),2,1)&gt;1,--MID(TEXT(N(D$12),REPT(0,3)),2,1),0)</f>
        <v>2</v>
      </c>
      <c r="E14" s="22">
        <f>N("Bila digit pertama angka puluhan &gt; 1 MAKA hasilkan 1 digit angka depannya BILA TIDAK hasilkan Nol")+IF(--MID(TEXT(N(E$12),REPT(0,3)),2,1)&gt;1,--MID(TEXT(N(E$12),REPT(0,3)),2,1),0)</f>
        <v>0</v>
      </c>
      <c r="F14" s="22">
        <f>N("Bila digit pertama angka puluhan &gt; 1 MAKA hasilkan 1 digit angka depannya BILA TIDAK hasilkan Nol")+IF(--MID(TEXT(N(F$12),REPT(0,3)),2,1)&gt;1,--MID(TEXT(N(F$12),REPT(0,3)),2,1),0)</f>
        <v>5</v>
      </c>
    </row>
    <row r="15" spans="2:6" x14ac:dyDescent="0.35">
      <c r="B15" s="21" t="s">
        <v>22</v>
      </c>
      <c r="C15" s="22">
        <f>N("Bila 2 digit terakhir &gt; 19 MAKA hasilkan 1 digit terakhir BILA TIDAK hasilkan 2 digit terakhir")+IF(--MID(TEXT(N(C$12),REPT(0,3)),2,2)&gt;19,--MID(TEXT(N(C$12),REPT(0,3)),3,1),--MID(TEXT(N(C$12),REPT(0,3)),2,2))</f>
        <v>0</v>
      </c>
      <c r="D15" s="22">
        <f>N("Bila 2 digit terakhir &gt; 19 MAKA hasilkan 1 digit terakhir BILA TIDAK hasilkan 2 digit terakhir")+IF(--MID(TEXT(N(D$12),REPT(0,3)),2,2)&gt;19,--MID(TEXT(N(D$12),REPT(0,3)),3,1),--MID(TEXT(N(D$12),REPT(0,3)),2,2))</f>
        <v>6</v>
      </c>
      <c r="E15" s="22">
        <f>N("Bila 2 digit terakhir &gt; 19 MAKA hasilkan 1 digit terakhir BILA TIDAK hasilkan 2 digit terakhir")+IF(--MID(TEXT(N(E$12),REPT(0,3)),2,2)&gt;19,--MID(TEXT(N(E$12),REPT(0,3)),3,1),--MID(TEXT(N(E$12),REPT(0,3)),2,2))</f>
        <v>13</v>
      </c>
      <c r="F15" s="22">
        <f>N("Bila 2 digit terakhir &gt; 19 MAKA hasilkan 1 digit terakhir BILA TIDAK hasilkan 2 digit terakhir")+IF(--MID(TEXT(N(F$12),REPT(0,3)),2,2)&gt;19,--MID(TEXT(N(F$12),REPT(0,3)),3,1),--MID(TEXT(N(F$12),REPT(0,3)),2,2))</f>
        <v>0</v>
      </c>
    </row>
    <row r="16" spans="2:6" ht="49.5" customHeight="1" x14ac:dyDescent="0.35">
      <c r="B16" s="23" t="s">
        <v>23</v>
      </c>
      <c r="C16" s="24" t="str">
        <f>IF(C13=0," ",VLOOKUP(C13,tblTerbilang[],2,0)&amp;" ratus ")&amp;IF(C14=0," ",VLOOKUP(C14,tblTerbilang[],2,0)&amp;" puluh ")&amp;IF(C15=0," ",VLOOKUP(C15,tblTerbilang[],2,0))&amp;IF(SUM(C13:C15)=0," "," milyar ")</f>
        <v xml:space="preserve">    </v>
      </c>
      <c r="D16" s="24" t="str">
        <f>IF(D13=0," ",VLOOKUP(D13,tblTerbilang[],2,0)&amp;" ratus ")&amp;IF(D14=0," ",VLOOKUP(D14,tblTerbilang[],2,0)&amp;" puluh ")&amp;IF(D15=0," ",VLOOKUP(D15,tblTerbilang[],2,0))&amp;IF(SUM(D13:D15)=0," "," juta ")</f>
        <v xml:space="preserve">satu ratus dua puluh enam juta </v>
      </c>
      <c r="E16" s="24" t="str">
        <f>IF(E13=0," ",VLOOKUP(E13,tblTerbilang[],2,0)&amp;" ratus ")&amp;IF(E14=0," ",VLOOKUP(E14,tblTerbilang[],2,0)&amp;" puluh ")&amp;IF(E15=0," ",VLOOKUP(E15,tblTerbilang[],2,0))&amp;IF(SUM(E13:E15)=0," "," ribu ")</f>
        <v xml:space="preserve">tiga ratus  tiga belas ribu </v>
      </c>
      <c r="F16" s="24" t="str">
        <f>IF(F13=0," ",VLOOKUP(F13,tblTerbilang[],2,0)&amp;" ratus ")&amp;IF(F14=0," ",VLOOKUP(F14,tblTerbilang[],2,0)&amp;" puluh ")&amp;IF(F15=0," ",VLOOKUP(F15,tblTerbilang[],2,0)&amp;" ")</f>
        <v xml:space="preserve">tujuh ratus lima puluh  </v>
      </c>
    </row>
    <row r="17" spans="2:6" ht="49.5" customHeight="1" x14ac:dyDescent="0.35">
      <c r="B17" s="25" t="s">
        <v>24</v>
      </c>
      <c r="C17" s="26" t="str">
        <f>TRIM(SUBSTITUTE(SUBSTITUTE(IF(C12=1,SUBSTITUTE(TRIM(C16),"satu ribu"," seribu "),TRIM(C16)),"satu ratus"," seratus "),"satu puluh"," sepuluh "))</f>
        <v/>
      </c>
      <c r="D17" s="26" t="str">
        <f>TRIM(SUBSTITUTE(SUBSTITUTE(IF(D12=1,SUBSTITUTE(TRIM(D16),"satu ribu"," seribu "),TRIM(D16)),"satu ratus"," seratus "),"satu puluh"," sepuluh "))</f>
        <v>seratus dua puluh enam juta</v>
      </c>
      <c r="E17" s="26" t="str">
        <f>TRIM(SUBSTITUTE(SUBSTITUTE(IF(E12=1,SUBSTITUTE(TRIM(E16),"satu ribu"," seribu "),TRIM(E16)),"satu ratus"," seratus "),"satu puluh"," sepuluh "))</f>
        <v>tiga ratus tiga belas ribu</v>
      </c>
      <c r="F17" s="26" t="str">
        <f>TRIM(SUBSTITUTE(SUBSTITUTE(IF(F12=1,SUBSTITUTE(TRIM(F16),"satu ribu"," seribu "),TRIM(F16)),"satu ratus"," seratus "),"satu puluh"," sepuluh "))</f>
        <v>tujuh ratus lima puluh</v>
      </c>
    </row>
    <row r="18" spans="2:6" x14ac:dyDescent="0.35"/>
    <row r="19" spans="2:6" x14ac:dyDescent="0.35"/>
    <row r="20" spans="2:6" x14ac:dyDescent="0.35"/>
    <row r="21" spans="2:6" hidden="1" x14ac:dyDescent="0.35"/>
    <row r="22" spans="2:6" hidden="1" x14ac:dyDescent="0.35"/>
    <row r="23" spans="2:6" hidden="1" x14ac:dyDescent="0.35"/>
    <row r="24" spans="2:6" hidden="1" x14ac:dyDescent="0.35">
      <c r="B24" s="27" t="s">
        <v>25</v>
      </c>
      <c r="C24" s="28" t="s">
        <v>11</v>
      </c>
    </row>
    <row r="25" spans="2:6" hidden="1" x14ac:dyDescent="0.35">
      <c r="B25" s="1">
        <v>0</v>
      </c>
    </row>
    <row r="26" spans="2:6" hidden="1" x14ac:dyDescent="0.35">
      <c r="B26" s="1">
        <v>1</v>
      </c>
      <c r="C26" s="2" t="s">
        <v>26</v>
      </c>
    </row>
    <row r="27" spans="2:6" hidden="1" x14ac:dyDescent="0.35">
      <c r="B27" s="1">
        <v>2</v>
      </c>
      <c r="C27" s="2" t="s">
        <v>27</v>
      </c>
    </row>
    <row r="28" spans="2:6" hidden="1" x14ac:dyDescent="0.35">
      <c r="B28" s="1">
        <v>3</v>
      </c>
      <c r="C28" s="2" t="s">
        <v>28</v>
      </c>
    </row>
    <row r="29" spans="2:6" hidden="1" x14ac:dyDescent="0.35">
      <c r="B29" s="1">
        <v>4</v>
      </c>
      <c r="C29" s="2" t="s">
        <v>29</v>
      </c>
    </row>
    <row r="30" spans="2:6" hidden="1" x14ac:dyDescent="0.35">
      <c r="B30" s="1">
        <v>5</v>
      </c>
      <c r="C30" s="2" t="s">
        <v>30</v>
      </c>
    </row>
    <row r="31" spans="2:6" hidden="1" x14ac:dyDescent="0.35">
      <c r="B31" s="1">
        <v>6</v>
      </c>
      <c r="C31" s="2" t="s">
        <v>31</v>
      </c>
    </row>
    <row r="32" spans="2:6" hidden="1" x14ac:dyDescent="0.35">
      <c r="B32" s="1">
        <v>7</v>
      </c>
      <c r="C32" s="2" t="s">
        <v>32</v>
      </c>
    </row>
    <row r="33" spans="2:3" hidden="1" x14ac:dyDescent="0.35">
      <c r="B33" s="1">
        <v>8</v>
      </c>
      <c r="C33" s="2" t="s">
        <v>33</v>
      </c>
    </row>
    <row r="34" spans="2:3" hidden="1" x14ac:dyDescent="0.35">
      <c r="B34" s="1">
        <v>9</v>
      </c>
      <c r="C34" s="2" t="s">
        <v>34</v>
      </c>
    </row>
    <row r="35" spans="2:3" hidden="1" x14ac:dyDescent="0.35">
      <c r="B35" s="1">
        <v>10</v>
      </c>
      <c r="C35" s="2" t="s">
        <v>35</v>
      </c>
    </row>
    <row r="36" spans="2:3" hidden="1" x14ac:dyDescent="0.35">
      <c r="B36" s="1">
        <v>11</v>
      </c>
      <c r="C36" s="2" t="s">
        <v>36</v>
      </c>
    </row>
    <row r="37" spans="2:3" hidden="1" x14ac:dyDescent="0.35">
      <c r="B37" s="1">
        <v>12</v>
      </c>
      <c r="C37" s="2" t="s">
        <v>37</v>
      </c>
    </row>
    <row r="38" spans="2:3" hidden="1" x14ac:dyDescent="0.35">
      <c r="B38" s="1">
        <v>13</v>
      </c>
      <c r="C38" s="2" t="s">
        <v>38</v>
      </c>
    </row>
    <row r="39" spans="2:3" hidden="1" x14ac:dyDescent="0.35">
      <c r="B39" s="1">
        <v>14</v>
      </c>
      <c r="C39" s="2" t="s">
        <v>39</v>
      </c>
    </row>
    <row r="40" spans="2:3" hidden="1" x14ac:dyDescent="0.35">
      <c r="B40" s="1">
        <v>15</v>
      </c>
      <c r="C40" s="2" t="s">
        <v>40</v>
      </c>
    </row>
    <row r="41" spans="2:3" hidden="1" x14ac:dyDescent="0.35">
      <c r="B41" s="1">
        <v>16</v>
      </c>
      <c r="C41" s="2" t="s">
        <v>41</v>
      </c>
    </row>
    <row r="42" spans="2:3" hidden="1" x14ac:dyDescent="0.35">
      <c r="B42" s="1">
        <v>17</v>
      </c>
      <c r="C42" s="2" t="s">
        <v>42</v>
      </c>
    </row>
    <row r="43" spans="2:3" hidden="1" x14ac:dyDescent="0.35">
      <c r="B43" s="1">
        <v>18</v>
      </c>
      <c r="C43" s="2" t="s">
        <v>43</v>
      </c>
    </row>
    <row r="44" spans="2:3" hidden="1" x14ac:dyDescent="0.35">
      <c r="B44" s="1">
        <v>19</v>
      </c>
      <c r="C44" s="2" t="s">
        <v>44</v>
      </c>
    </row>
  </sheetData>
  <mergeCells count="3">
    <mergeCell ref="B1:F1"/>
    <mergeCell ref="B4:B6"/>
    <mergeCell ref="C4:F6"/>
  </mergeCells>
  <pageMargins left="0.7" right="0.7" top="0.75" bottom="0.75" header="0.3" footer="0.3"/>
  <pageSetup orientation="portrait" horizontalDpi="300" verticalDpi="300" r:id="rId1"/>
  <picture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"/>
  <sheetViews>
    <sheetView workbookViewId="0">
      <selection activeCell="E5" sqref="E5"/>
    </sheetView>
  </sheetViews>
  <sheetFormatPr defaultColWidth="9.26953125" defaultRowHeight="30" customHeight="1" x14ac:dyDescent="0.35"/>
  <cols>
    <col min="1" max="1" width="2.7265625" style="30" customWidth="1"/>
    <col min="2" max="2" width="25.81640625" style="30" bestFit="1" customWidth="1"/>
    <col min="3" max="3" width="21.7265625" style="30" customWidth="1"/>
    <col min="4" max="4" width="25.7265625" style="30" customWidth="1"/>
    <col min="5" max="5" width="11.81640625" style="30" bestFit="1" customWidth="1"/>
    <col min="6" max="6" width="15.1796875" style="30" bestFit="1" customWidth="1"/>
    <col min="7" max="7" width="17.26953125" style="30" customWidth="1"/>
    <col min="8" max="8" width="11" style="30" bestFit="1" customWidth="1"/>
    <col min="9" max="9" width="13.26953125" style="30" customWidth="1"/>
    <col min="10" max="10" width="25" style="30" customWidth="1"/>
    <col min="11" max="11" width="22.7265625" style="30" customWidth="1"/>
    <col min="12" max="12" width="2.7265625" style="30" customWidth="1"/>
    <col min="13" max="13" width="22.7265625" style="30" customWidth="1"/>
    <col min="14" max="16384" width="9.26953125" style="30"/>
  </cols>
  <sheetData>
    <row r="1" spans="2:13" ht="42" customHeight="1" x14ac:dyDescent="0.35">
      <c r="B1" s="31" t="s">
        <v>47</v>
      </c>
      <c r="M1" s="32" t="s">
        <v>48</v>
      </c>
    </row>
    <row r="2" spans="2:13" ht="30" customHeight="1" x14ac:dyDescent="0.35">
      <c r="B2" s="30" t="s">
        <v>49</v>
      </c>
      <c r="C2" s="30" t="s">
        <v>50</v>
      </c>
      <c r="D2" s="30" t="s">
        <v>51</v>
      </c>
      <c r="E2" s="30" t="s">
        <v>52</v>
      </c>
      <c r="F2" s="30" t="s">
        <v>53</v>
      </c>
      <c r="G2" s="30" t="s">
        <v>54</v>
      </c>
      <c r="H2" s="30" t="s">
        <v>55</v>
      </c>
      <c r="I2" s="30" t="s">
        <v>56</v>
      </c>
      <c r="J2" s="30" t="s">
        <v>57</v>
      </c>
      <c r="K2" s="30" t="s">
        <v>58</v>
      </c>
    </row>
    <row r="3" spans="2:13" ht="30" customHeight="1" x14ac:dyDescent="0.35">
      <c r="B3" s="33" t="s">
        <v>59</v>
      </c>
      <c r="C3" s="33" t="s">
        <v>60</v>
      </c>
      <c r="D3" s="33" t="s">
        <v>61</v>
      </c>
      <c r="E3" s="33" t="s">
        <v>62</v>
      </c>
      <c r="F3" s="33" t="s">
        <v>63</v>
      </c>
      <c r="G3" s="33" t="s">
        <v>64</v>
      </c>
      <c r="H3" s="34" t="s">
        <v>65</v>
      </c>
      <c r="I3" s="35" t="s">
        <v>66</v>
      </c>
      <c r="J3" s="36" t="s">
        <v>67</v>
      </c>
      <c r="K3" s="35">
        <v>0</v>
      </c>
    </row>
    <row r="4" spans="2:13" ht="30" customHeight="1" x14ac:dyDescent="0.35">
      <c r="B4" s="33" t="s">
        <v>68</v>
      </c>
      <c r="C4" s="33"/>
      <c r="D4" s="37"/>
      <c r="E4" s="37"/>
      <c r="F4" s="37"/>
      <c r="G4" s="37"/>
      <c r="H4" s="38"/>
      <c r="I4" s="35"/>
      <c r="J4" s="36"/>
      <c r="K4" s="35"/>
    </row>
    <row r="5" spans="2:13" ht="30" customHeight="1" x14ac:dyDescent="0.35">
      <c r="B5" s="37"/>
      <c r="C5" s="33"/>
      <c r="D5" s="37"/>
      <c r="E5" s="37"/>
      <c r="F5" s="37"/>
      <c r="G5" s="37"/>
      <c r="H5" s="38"/>
      <c r="I5" s="35"/>
      <c r="J5" s="36"/>
      <c r="K5" s="35"/>
    </row>
    <row r="6" spans="2:13" ht="30" customHeight="1" x14ac:dyDescent="0.35">
      <c r="B6" s="33"/>
      <c r="C6" s="33"/>
      <c r="D6" s="37"/>
      <c r="E6" s="37"/>
      <c r="F6" s="37"/>
      <c r="G6" s="37"/>
      <c r="H6" s="38"/>
      <c r="I6" s="35"/>
      <c r="J6" s="36"/>
      <c r="K6" s="35"/>
    </row>
  </sheetData>
  <dataValidations count="13">
    <dataValidation allowBlank="1" showInputMessage="1" showErrorMessage="1" prompt="Navigation link to Commercial Invoice worksheet. This cell will not print" sqref="M1"/>
    <dataValidation allowBlank="1" showInputMessage="1" showErrorMessage="1" prompt="Enter Fax number in this column under this heading" sqref="K2"/>
    <dataValidation allowBlank="1" showInputMessage="1" showErrorMessage="1" prompt="Enter Email address in this column under this heading" sqref="J2"/>
    <dataValidation allowBlank="1" showInputMessage="1" showErrorMessage="1" prompt="Enter Phone number in this column under this heading" sqref="I2"/>
    <dataValidation allowBlank="1" showInputMessage="1" showErrorMessage="1" prompt="Enter ZIP Code in this column under this heading" sqref="H2"/>
    <dataValidation allowBlank="1" showInputMessage="1" showErrorMessage="1" prompt="Enter State in this column under this heading" sqref="G2"/>
    <dataValidation allowBlank="1" showInputMessage="1" showErrorMessage="1" prompt="Enter City in this column under this heading" sqref="F2"/>
    <dataValidation allowBlank="1" showInputMessage="1" showErrorMessage="1" prompt="Enter Address 2 in this column under this heading" sqref="E2"/>
    <dataValidation allowBlank="1" showInputMessage="1" showErrorMessage="1" prompt="Enter Address in this column under this heading" sqref="D2"/>
    <dataValidation allowBlank="1" showInputMessage="1" showErrorMessage="1" prompt="Enter Contact Name in this column under this heading" sqref="C2"/>
    <dataValidation allowBlank="1" showInputMessage="1" showErrorMessage="1" prompt="Enter Company Name in this column under this heading. Use heading filters to find specific entries" sqref="B2"/>
    <dataValidation allowBlank="1" showInputMessage="1" showErrorMessage="1" prompt="Title of this worksheet is in this cell" sqref="B1"/>
    <dataValidation allowBlank="1" showInputMessage="1" showErrorMessage="1" prompt="Enter customer details in this worksheet. Customer information entered is used in Commercial Invoice worksheet. Select cell M1 to navigate to Commercial Invoice worksheet" sqref="A1"/>
  </dataValidations>
  <hyperlinks>
    <hyperlink ref="J3" r:id="rId1"/>
    <hyperlink ref="M1" location="'Commercial Invoice'!A1" tooltip="Select to navigate to Commercial Invoice worksheet" display="Commercial Invoice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Kuitansi (terbilang)</vt:lpstr>
      <vt:lpstr>Rumus Terbilang</vt:lpstr>
      <vt:lpstr>Sheet1</vt:lpstr>
      <vt:lpstr>nilai</vt:lpstr>
      <vt:lpstr>'Kuitansi (terbilang)'!Print_Area</vt:lpstr>
    </vt:vector>
  </TitlesOfParts>
  <Company>user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Kwitansi Excel (Rumus Terbilang)</dc:title>
  <dc:creator>Excelku.com</dc:creator>
  <cp:lastModifiedBy>ACER</cp:lastModifiedBy>
  <cp:lastPrinted>2023-08-09T03:50:02Z</cp:lastPrinted>
  <dcterms:created xsi:type="dcterms:W3CDTF">2014-12-25T06:07:17Z</dcterms:created>
  <dcterms:modified xsi:type="dcterms:W3CDTF">2023-10-12T05:55:14Z</dcterms:modified>
</cp:coreProperties>
</file>